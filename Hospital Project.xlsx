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Course\Excel\Projects\Project\"/>
    </mc:Choice>
  </mc:AlternateContent>
  <xr:revisionPtr revIDLastSave="0" documentId="13_ncr:1_{BDC7C9AC-F016-4630-9B68-5CB7941C626D}" xr6:coauthVersionLast="47" xr6:coauthVersionMax="47" xr10:uidLastSave="{00000000-0000-0000-0000-000000000000}"/>
  <bookViews>
    <workbookView xWindow="-108" yWindow="-108" windowWidth="23256" windowHeight="12456" firstSheet="2" activeTab="4" xr2:uid="{7B6137E8-D999-47AD-8A8D-6A9DD58936CC}"/>
  </bookViews>
  <sheets>
    <sheet name="Pivot report" sheetId="1" r:id="rId1"/>
    <sheet name="Dashboard Layout " sheetId="2" r:id="rId2"/>
    <sheet name="Daily ER No of patient" sheetId="3" r:id="rId3"/>
    <sheet name="Average wait time daily trend " sheetId="5" r:id="rId4"/>
    <sheet name="Satisfaction score daily trend " sheetId="4"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33fd1b5-66a9-4af6-8d71-da3b4c7ec4e9" name="Hospital Emergency Room Data" connection="Query - Hospital Emergency Room Data"/>
          <x15:modelTable id="Calender_Table_708a1364-d41e-4bf7-93b9-9708a3feed55"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0" i="1" l="1"/>
  <c r="C51" i="1"/>
  <c r="B51" i="1"/>
  <c r="B50" i="1"/>
  <c r="A50"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2803B5-20D4-43FD-97E1-8D49BC971472}" name="Query - Calender_Table" description="Connection to the 'Calender_Table' query in the workbook." type="100" refreshedVersion="8" minRefreshableVersion="5">
    <extLst>
      <ext xmlns:x15="http://schemas.microsoft.com/office/spreadsheetml/2010/11/main" uri="{DE250136-89BD-433C-8126-D09CA5730AF9}">
        <x15:connection id="bb2093f8-5935-4837-b109-3916193e624c"/>
      </ext>
    </extLst>
  </connection>
  <connection id="2" xr16:uid="{C7AAA24D-0FE1-47DA-8900-374186A2C94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ca43f9d-e075-416d-8c47-f9594ad4b6ce"/>
      </ext>
    </extLst>
  </connection>
  <connection id="3" xr16:uid="{EC0D9E75-268C-43AD-BDF5-E8A43309C97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<sst xmlns="http://schemas.openxmlformats.org/spreadsheetml/2006/main" count="151" uniqueCount="75">
  <si>
    <t>Distinct Count of Patient Id</t>
  </si>
  <si>
    <t xml:space="preserve">No.of Patients </t>
  </si>
  <si>
    <t>Average of Patient Waittime</t>
  </si>
  <si>
    <t>Average of Patient Satisfaction Score</t>
  </si>
  <si>
    <t>Row Labels</t>
  </si>
  <si>
    <t>Grand Total</t>
  </si>
  <si>
    <t>2024</t>
  </si>
  <si>
    <t>Showing d daily trend with an area sparkline to spot patterns like busy days or seasonal trends</t>
  </si>
  <si>
    <t>Daily trend of no of patient</t>
  </si>
  <si>
    <t>Use an are chart to show trends,spot drops in satisfaction, and link them to busy times or challenges.</t>
  </si>
  <si>
    <t xml:space="preserve">Average wait time </t>
  </si>
  <si>
    <t xml:space="preserve">Satisfaction score daily trend </t>
  </si>
  <si>
    <t>Count of Patient Admission Flag</t>
  </si>
  <si>
    <t>Admitted</t>
  </si>
  <si>
    <t>Not Admitted</t>
  </si>
  <si>
    <t>Count of Patient Admission Flag2</t>
  </si>
  <si>
    <t>Admission Status</t>
  </si>
  <si>
    <t>No. of Patient</t>
  </si>
  <si>
    <t>%Status</t>
  </si>
  <si>
    <t>0-9</t>
  </si>
  <si>
    <t>10-19</t>
  </si>
  <si>
    <t>20-29</t>
  </si>
  <si>
    <t>30-39</t>
  </si>
  <si>
    <t>40-49</t>
  </si>
  <si>
    <t>50-59</t>
  </si>
  <si>
    <t>60-69</t>
  </si>
  <si>
    <t>70-79</t>
  </si>
  <si>
    <t>Count of Age Group</t>
  </si>
  <si>
    <t xml:space="preserve">Age group wise analysis </t>
  </si>
  <si>
    <t>Ontime</t>
  </si>
  <si>
    <t>Delay</t>
  </si>
  <si>
    <t>Count of Patient attend Status</t>
  </si>
  <si>
    <t>Attebded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</si>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</sst>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2"/>
      <color theme="1"/>
      <name val="Times New Roman"/>
      <family val="1"/>
    </font>
    <font>
      <sz val="11"/>
      <color theme="1"/>
      <name val="Times New Roman"/>
      <family val="1"/>
    </font>
    <font>
      <b/>
      <sz val="16"/>
      <color theme="1"/>
      <name val="Times New Roman"/>
      <family val="1"/>
    </font>
    <font>
      <b/>
      <sz val="18"/>
      <color theme="1"/>
      <name val="Times New Roman"/>
      <family val="1"/>
    </font>
    <font>
      <sz val="16"/>
      <color theme="1"/>
      <name val="Times New Roman"/>
      <family val="1"/>
    </font>
  </fonts>
  <fills count="7">
    <fill>
      <patternFill patternType="none"/>
    </fill>
    <fill>
      <patternFill patternType="gray125"/>
    </fill>
    <fill>
      <patternFill patternType="solid">
        <fgColor theme="0"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theme="0"/>
        <bgColor indexed="64"/>
      </patternFill>
    </fill>
    <fill>
      <patternFill patternType="solid">
        <fgColor theme="1" tint="0.34998626667073579"/>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0" fontId="0" fillId="2" borderId="0" xfId="0" applyFill="1"/>
    <xf numFmtId="0" fontId="0" fillId="0" borderId="0" xfId="0" applyAlignment="1">
      <alignment horizontal="center"/>
    </xf>
    <xf numFmtId="0" fontId="2" fillId="0" borderId="0" xfId="0" applyFont="1"/>
    <xf numFmtId="0" fontId="1" fillId="0" borderId="0" xfId="0" applyFont="1"/>
    <xf numFmtId="2" fontId="0" fillId="0" borderId="0" xfId="0" applyNumberFormat="1" applyAlignment="1">
      <alignment horizontal="center"/>
    </xf>
    <xf numFmtId="10" fontId="0" fillId="0" borderId="0" xfId="0" applyNumberFormat="1" applyAlignment="1">
      <alignment horizontal="center"/>
    </xf>
    <xf numFmtId="0" fontId="0" fillId="4" borderId="0" xfId="0" applyFill="1"/>
    <xf numFmtId="0" fontId="0" fillId="3" borderId="0" xfId="0" applyFill="1" applyAlignment="1">
      <alignment vertical="center"/>
    </xf>
    <xf numFmtId="1" fontId="0" fillId="0" borderId="0" xfId="0" applyNumberFormat="1" applyAlignment="1">
      <alignment horizontal="center"/>
    </xf>
    <xf numFmtId="0" fontId="5" fillId="4" borderId="0" xfId="0" applyFont="1" applyFill="1" applyAlignment="1">
      <alignment horizontal="center" vertical="center"/>
    </xf>
    <xf numFmtId="10" fontId="5" fillId="4" borderId="0" xfId="0" applyNumberFormat="1" applyFont="1" applyFill="1" applyAlignment="1">
      <alignment horizontal="center" vertical="center"/>
    </xf>
    <xf numFmtId="0" fontId="3" fillId="3" borderId="0" xfId="0" applyFont="1" applyFill="1" applyAlignment="1">
      <alignment horizontal="center" vertical="center"/>
    </xf>
    <xf numFmtId="0" fontId="0" fillId="5" borderId="0" xfId="0" applyFill="1"/>
    <xf numFmtId="0" fontId="0" fillId="6" borderId="0" xfId="0" applyFill="1"/>
    <xf numFmtId="0" fontId="4" fillId="2" borderId="0" xfId="0" applyFont="1" applyFill="1" applyAlignment="1">
      <alignment horizontal="center" vertical="center"/>
    </xf>
    <xf numFmtId="0" fontId="1" fillId="0" borderId="0" xfId="0" applyFont="1" applyAlignment="1">
      <alignment horizontal="center"/>
    </xf>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36">
    <dxf>
      <alignment horizontal="center"/>
    </dxf>
    <dxf>
      <alignment horizontal="center"/>
    </dxf>
    <dxf>
      <numFmt numFmtId="2" formatCode="0.00"/>
    </dxf>
    <dxf>
      <numFmt numFmtId="1" formatCode="0"/>
    </dxf>
    <dxf>
      <alignment horizontal="center"/>
    </dxf>
    <dxf>
      <numFmt numFmtId="2" formatCode="0.00"/>
    </dxf>
    <dxf>
      <numFmt numFmtId="1" formatCode="0"/>
    </dxf>
    <dxf>
      <alignment horizontal="center"/>
    </dxf>
    <dxf>
      <numFmt numFmtId="2" formatCode="0.00"/>
    </dxf>
    <dxf>
      <numFmt numFmtId="14" formatCode="0.00%"/>
    </dxf>
    <dxf>
      <alignment horizontal="center"/>
    </dxf>
    <dxf>
      <numFmt numFmtId="2" formatCode="0.00"/>
    </dxf>
    <dxf>
      <numFmt numFmtId="1" formatCode="0"/>
    </dxf>
    <dxf>
      <alignment horizontal="center"/>
    </dxf>
    <dxf>
      <numFmt numFmtId="2" formatCode="0.00"/>
    </dxf>
    <dxf>
      <alignment horizontal="center"/>
    </dxf>
    <dxf>
      <numFmt numFmtId="2" formatCode="0.00"/>
    </dxf>
    <dxf>
      <alignment horizontal="center"/>
    </dxf>
    <dxf>
      <font>
        <sz val="11"/>
      </font>
    </dxf>
    <dxf>
      <alignment horizontal="center"/>
    </dxf>
    <dxf>
      <numFmt numFmtId="1" formatCode="0"/>
    </dxf>
    <dxf>
      <alignment horizontal="center"/>
    </dxf>
    <dxf>
      <numFmt numFmtId="2" formatCode="0.00"/>
    </dxf>
    <dxf>
      <alignment horizontal="center"/>
    </dxf>
    <dxf>
      <alignment vertical="bottom"/>
    </dxf>
    <dxf>
      <numFmt numFmtId="2" formatCode="0.00"/>
    </dxf>
    <dxf>
      <numFmt numFmtId="1" formatCode="0"/>
    </dxf>
    <dxf>
      <alignment horizontal="center"/>
    </dxf>
    <dxf>
      <numFmt numFmtId="2" formatCode="0.00"/>
    </dxf>
    <dxf>
      <alignment horizontal="center"/>
    </dxf>
    <dxf>
      <numFmt numFmtId="2" formatCode="0.00"/>
    </dxf>
    <dxf>
      <alignment horizontal="center"/>
    </dxf>
    <dxf>
      <font>
        <sz val="11"/>
      </font>
    </dxf>
    <dxf>
      <font>
        <sz val="14"/>
      </font>
    </dxf>
    <dxf>
      <border diagonalUp="0" diagonalDown="0">
        <left/>
        <right/>
        <top/>
        <bottom/>
        <vertical/>
        <horizontal/>
      </border>
    </dxf>
    <dxf>
      <font>
        <b val="0"/>
        <i val="0"/>
        <sz val="12"/>
        <name val="Times New Roman"/>
        <family val="1"/>
        <scheme val="none"/>
      </font>
      <fill>
        <patternFill>
          <bgColor rgb="FFFFC000"/>
        </patternFill>
      </fill>
      <border diagonalUp="0" diagonalDown="0">
        <left/>
        <right/>
        <top/>
        <bottom/>
        <vertical/>
        <horizontal/>
      </border>
    </dxf>
  </dxfs>
  <tableStyles count="4" defaultTableStyle="TableStyleMedium2" defaultPivotStyle="PivotStyleLight16">
    <tableStyle name="My Style " pivot="0" table="0" count="1" xr9:uid="{199E4E9E-4D75-4C94-B4AB-9B477427D4BB}">
      <tableStyleElement type="wholeTable" dxfId="35"/>
    </tableStyle>
    <tableStyle name="Slicer Style 1" pivot="0" table="0" count="1" xr9:uid="{1F1A700D-F47D-46AA-9E32-7D8FEB85CEDC}">
      <tableStyleElement type="wholeTable" dxfId="34"/>
    </tableStyle>
    <tableStyle name="Slicer Style 2" pivot="0" table="0" count="1" xr9:uid="{9B6CB81D-1199-496F-8DDB-A47E101A5F20}">
      <tableStyleElement type="wholeTable" dxfId="33"/>
    </tableStyle>
    <tableStyle name="Slicer Style 3" pivot="0" table="0" count="0" xr9:uid="{9CD7DD4E-04F7-4ADD-AB0B-8046A92C04FC}"/>
  </tableStyles>
  <extLst>
    <ext xmlns:x14="http://schemas.microsoft.com/office/spreadsheetml/2009/9/main" uri="{EB79DEF2-80B8-43e5-95BD-54CBDDF9020C}">
      <x14:slicerStyles defaultSlicerStyle="SlicerStyleLight1">
        <x14:slicerStyle name="My Style "/>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effectLst>
                    <a:outerShdw blurRad="50800" dir="1800000" sx="95000" sy="95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1.3891304371604424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effectLst>
                    <a:outerShdw blurRad="50800" dir="1800000" sx="95000" sy="95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527444362609412"/>
                  <c:h val="0.25893391348670647"/>
                </c:manualLayout>
              </c15:layout>
              <c15:showDataLabelsRange val="1"/>
            </c:ext>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effectLst>
                    <a:outerShdw blurRad="50800" dir="1800000" sx="95000" sy="95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288941092472655"/>
                  <c:h val="0.31449913097312415"/>
                </c:manualLayout>
              </c15:layout>
              <c15:showDataLabelsRange val="1"/>
            </c:ext>
          </c:extLst>
        </c:dLbl>
      </c:pivotFmt>
    </c:pivotFmts>
    <c:plotArea>
      <c:layout>
        <c:manualLayout>
          <c:layoutTarget val="inner"/>
          <c:xMode val="edge"/>
          <c:yMode val="edge"/>
          <c:x val="5.3972830670847467E-3"/>
          <c:y val="1.3868334498234054E-2"/>
          <c:w val="0.88564042589759218"/>
          <c:h val="0.98413557680289943"/>
        </c:manualLayout>
      </c:layout>
      <c:barChart>
        <c:barDir val="bar"/>
        <c:grouping val="clustered"/>
        <c:varyColors val="0"/>
        <c:ser>
          <c:idx val="0"/>
          <c:order val="0"/>
          <c:tx>
            <c:strRef>
              <c:f>'Pivot report'!$B$39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C774-47CB-9B30-4BB3BA901CB5}"/>
              </c:ext>
            </c:extLst>
          </c:dPt>
          <c:dPt>
            <c:idx val="1"/>
            <c:invertIfNegative val="0"/>
            <c:bubble3D val="0"/>
            <c:extLst>
              <c:ext xmlns:c16="http://schemas.microsoft.com/office/drawing/2014/chart" uri="{C3380CC4-5D6E-409C-BE32-E72D297353CC}">
                <c16:uniqueId val="{00000001-C774-47CB-9B30-4BB3BA901CB5}"/>
              </c:ext>
            </c:extLst>
          </c:dPt>
          <c:dLbls>
            <c:dLbl>
              <c:idx val="0"/>
              <c:layout>
                <c:manualLayout>
                  <c:x val="0"/>
                  <c:y val="-1.3891304371604424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effectLst>
                        <a:outerShdw blurRad="50800" dir="1800000" sx="95000" sy="95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3527444362609412"/>
                      <c:h val="0.25893391348670647"/>
                    </c:manualLayout>
                  </c15:layout>
                  <c15:showDataLabelsRange val="1"/>
                </c:ext>
                <c:ext xmlns:c16="http://schemas.microsoft.com/office/drawing/2014/chart" uri="{C3380CC4-5D6E-409C-BE32-E72D297353CC}">
                  <c16:uniqueId val="{00000000-C774-47CB-9B30-4BB3BA901CB5}"/>
                </c:ext>
              </c:extLst>
            </c:dLbl>
            <c:dLbl>
              <c:idx val="1"/>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effectLst>
                        <a:outerShdw blurRad="50800" dir="1800000" sx="95000" sy="95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288941092472655"/>
                      <c:h val="0.31449913097312415"/>
                    </c:manualLayout>
                  </c15:layout>
                  <c15:showDataLabelsRange val="1"/>
                </c:ext>
                <c:ext xmlns:c16="http://schemas.microsoft.com/office/drawing/2014/chart" uri="{C3380CC4-5D6E-409C-BE32-E72D297353CC}">
                  <c16:uniqueId val="{00000001-C774-47CB-9B30-4BB3BA901CB5}"/>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effectLst>
                      <a:outerShdw blurRad="50800" dir="1800000" sx="95000" sy="95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report'!$A$40:$A$42</c:f>
              <c:strCache>
                <c:ptCount val="2"/>
                <c:pt idx="0">
                  <c:v>Admitted</c:v>
                </c:pt>
                <c:pt idx="1">
                  <c:v>Not Admitted</c:v>
                </c:pt>
              </c:strCache>
            </c:strRef>
          </c:cat>
          <c:val>
            <c:numRef>
              <c:f>'Pivot report'!$B$40:$B$42</c:f>
              <c:numCache>
                <c:formatCode>0.00</c:formatCode>
                <c:ptCount val="2"/>
                <c:pt idx="0">
                  <c:v>224</c:v>
                </c:pt>
                <c:pt idx="1">
                  <c:v>207</c:v>
                </c:pt>
              </c:numCache>
            </c:numRef>
          </c:val>
          <c:extLst>
            <c:ext xmlns:c16="http://schemas.microsoft.com/office/drawing/2014/chart" uri="{C3380CC4-5D6E-409C-BE32-E72D297353CC}">
              <c16:uniqueId val="{00000007-2850-41B7-9781-E82C568F5B6F}"/>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cat>
            <c:strRef>
              <c:f>'Pivot report'!$A$40:$A$42</c:f>
              <c:strCache>
                <c:ptCount val="2"/>
                <c:pt idx="0">
                  <c:v>Admitted</c:v>
                </c:pt>
                <c:pt idx="1">
                  <c:v>Not Admitted</c:v>
                </c:pt>
              </c:strCache>
            </c:strRef>
          </c:cat>
          <c:val>
            <c:numRef>
              <c:f>'Pivot report'!$C$40:$C$42</c:f>
              <c:numCache>
                <c:formatCode>0.00%</c:formatCode>
                <c:ptCount val="2"/>
                <c:pt idx="0">
                  <c:v>0.51972157772621808</c:v>
                </c:pt>
                <c:pt idx="1">
                  <c:v>0.48027842227378192</c:v>
                </c:pt>
              </c:numCache>
            </c:numRef>
          </c:val>
          <c:extLst>
            <c:ext xmlns:c16="http://schemas.microsoft.com/office/drawing/2014/chart" uri="{C3380CC4-5D6E-409C-BE32-E72D297353CC}">
              <c16:uniqueId val="{00000008-2850-41B7-9781-E82C568F5B6F}"/>
            </c:ext>
          </c:extLst>
        </c:ser>
        <c:dLbls>
          <c:showLegendKey val="0"/>
          <c:showVal val="0"/>
          <c:showCatName val="0"/>
          <c:showSerName val="0"/>
          <c:showPercent val="0"/>
          <c:showBubbleSize val="0"/>
        </c:dLbls>
        <c:gapWidth val="25"/>
        <c:axId val="809661167"/>
        <c:axId val="809645327"/>
      </c:barChart>
      <c:catAx>
        <c:axId val="809661167"/>
        <c:scaling>
          <c:orientation val="minMax"/>
        </c:scaling>
        <c:delete val="1"/>
        <c:axPos val="l"/>
        <c:numFmt formatCode="General" sourceLinked="1"/>
        <c:majorTickMark val="none"/>
        <c:minorTickMark val="none"/>
        <c:tickLblPos val="nextTo"/>
        <c:crossAx val="809645327"/>
        <c:crosses val="autoZero"/>
        <c:auto val="1"/>
        <c:lblAlgn val="ctr"/>
        <c:lblOffset val="100"/>
        <c:noMultiLvlLbl val="0"/>
      </c:catAx>
      <c:valAx>
        <c:axId val="809645327"/>
        <c:scaling>
          <c:orientation val="minMax"/>
        </c:scaling>
        <c:delete val="1"/>
        <c:axPos val="b"/>
        <c:numFmt formatCode="0.00" sourceLinked="1"/>
        <c:majorTickMark val="none"/>
        <c:minorTickMark val="none"/>
        <c:tickLblPos val="nextTo"/>
        <c:crossAx val="809661167"/>
        <c:crosses val="autoZero"/>
        <c:crossBetween val="between"/>
      </c:valAx>
      <c:spPr>
        <a:noFill/>
        <a:ln>
          <a:noFill/>
        </a:ln>
        <a:effectLst>
          <a:outerShdw blurRad="50800" dir="5400000" sx="1000" sy="1000" algn="ctr" rotWithShape="0">
            <a:srgbClr val="000000">
              <a:alpha val="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846313157557821E-2"/>
          <c:y val="8.884184524758738E-3"/>
          <c:w val="0.88584215686410084"/>
          <c:h val="0.60779751615318423"/>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report'!$E$5:$E$34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2-AD1E-46A7-8A4F-1C9BB04222D8}"/>
            </c:ext>
          </c:extLst>
        </c:ser>
        <c:dLbls>
          <c:showLegendKey val="0"/>
          <c:showVal val="0"/>
          <c:showCatName val="0"/>
          <c:showSerName val="0"/>
          <c:showPercent val="0"/>
          <c:showBubbleSize val="0"/>
        </c:dLbls>
        <c:axId val="239710320"/>
        <c:axId val="239697840"/>
      </c:areaChart>
      <c:catAx>
        <c:axId val="239710320"/>
        <c:scaling>
          <c:orientation val="minMax"/>
        </c:scaling>
        <c:delete val="1"/>
        <c:axPos val="b"/>
        <c:numFmt formatCode="General" sourceLinked="1"/>
        <c:majorTickMark val="out"/>
        <c:minorTickMark val="none"/>
        <c:tickLblPos val="nextTo"/>
        <c:crossAx val="239697840"/>
        <c:crosses val="autoZero"/>
        <c:auto val="1"/>
        <c:lblAlgn val="ctr"/>
        <c:lblOffset val="100"/>
        <c:noMultiLvlLbl val="0"/>
      </c:catAx>
      <c:valAx>
        <c:axId val="239697840"/>
        <c:scaling>
          <c:orientation val="minMax"/>
        </c:scaling>
        <c:delete val="1"/>
        <c:axPos val="l"/>
        <c:numFmt formatCode="General" sourceLinked="1"/>
        <c:majorTickMark val="none"/>
        <c:minorTickMark val="none"/>
        <c:tickLblPos val="nextTo"/>
        <c:crossAx val="239710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9281968330725601E-4"/>
          <c:w val="0.99722222222222223"/>
          <c:h val="0.98148148148148151"/>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report'!$H$5:$H$34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2-7341-41A0-BBBB-9FB8E423BCF8}"/>
            </c:ext>
          </c:extLst>
        </c:ser>
        <c:dLbls>
          <c:showLegendKey val="0"/>
          <c:showVal val="0"/>
          <c:showCatName val="0"/>
          <c:showSerName val="0"/>
          <c:showPercent val="0"/>
          <c:showBubbleSize val="0"/>
        </c:dLbls>
        <c:axId val="809611727"/>
        <c:axId val="809618447"/>
      </c:areaChart>
      <c:catAx>
        <c:axId val="809611727"/>
        <c:scaling>
          <c:orientation val="minMax"/>
        </c:scaling>
        <c:delete val="1"/>
        <c:axPos val="b"/>
        <c:numFmt formatCode="General" sourceLinked="1"/>
        <c:majorTickMark val="out"/>
        <c:minorTickMark val="none"/>
        <c:tickLblPos val="nextTo"/>
        <c:crossAx val="809618447"/>
        <c:crosses val="autoZero"/>
        <c:auto val="1"/>
        <c:lblAlgn val="ctr"/>
        <c:lblOffset val="100"/>
        <c:noMultiLvlLbl val="0"/>
      </c:catAx>
      <c:valAx>
        <c:axId val="809618447"/>
        <c:scaling>
          <c:orientation val="minMax"/>
        </c:scaling>
        <c:delete val="1"/>
        <c:axPos val="l"/>
        <c:numFmt formatCode="0.00" sourceLinked="1"/>
        <c:majorTickMark val="none"/>
        <c:minorTickMark val="none"/>
        <c:tickLblPos val="nextTo"/>
        <c:crossAx val="809611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5282511901967721E-2"/>
          <c:w val="0.99798056429854443"/>
          <c:h val="0.98471744000557881"/>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report'!$K$5:$K$33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3-A6FF-4B24-B0DF-62F00F5A3527}"/>
            </c:ext>
          </c:extLst>
        </c:ser>
        <c:dLbls>
          <c:showLegendKey val="0"/>
          <c:showVal val="0"/>
          <c:showCatName val="0"/>
          <c:showSerName val="0"/>
          <c:showPercent val="0"/>
          <c:showBubbleSize val="0"/>
        </c:dLbls>
        <c:axId val="809641007"/>
        <c:axId val="809647247"/>
      </c:areaChart>
      <c:catAx>
        <c:axId val="809641007"/>
        <c:scaling>
          <c:orientation val="minMax"/>
        </c:scaling>
        <c:delete val="1"/>
        <c:axPos val="b"/>
        <c:numFmt formatCode="General" sourceLinked="1"/>
        <c:majorTickMark val="out"/>
        <c:minorTickMark val="none"/>
        <c:tickLblPos val="nextTo"/>
        <c:crossAx val="809647247"/>
        <c:crosses val="autoZero"/>
        <c:auto val="1"/>
        <c:lblAlgn val="ctr"/>
        <c:lblOffset val="100"/>
        <c:noMultiLvlLbl val="0"/>
      </c:catAx>
      <c:valAx>
        <c:axId val="809647247"/>
        <c:scaling>
          <c:orientation val="minMax"/>
        </c:scaling>
        <c:delete val="1"/>
        <c:axPos val="l"/>
        <c:numFmt formatCode="0.00" sourceLinked="1"/>
        <c:majorTickMark val="none"/>
        <c:minorTickMark val="none"/>
        <c:tickLblPos val="nextTo"/>
        <c:crossAx val="8096410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8023060430587E-3"/>
          <c:y val="0.19390979487268459"/>
          <c:w val="0.99444444444444446"/>
          <c:h val="0.48480658350538119"/>
        </c:manualLayout>
      </c:layout>
      <c:barChart>
        <c:barDir val="col"/>
        <c:grouping val="clustered"/>
        <c:varyColors val="0"/>
        <c:ser>
          <c:idx val="0"/>
          <c:order val="0"/>
          <c:tx>
            <c:strRef>
              <c:f>'Pivot report'!$B$56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report'!$A$57:$A$65</c:f>
              <c:strCache>
                <c:ptCount val="8"/>
                <c:pt idx="0">
                  <c:v>0-9</c:v>
                </c:pt>
                <c:pt idx="1">
                  <c:v>10-19</c:v>
                </c:pt>
                <c:pt idx="2">
                  <c:v>20-29</c:v>
                </c:pt>
                <c:pt idx="3">
                  <c:v>30-39</c:v>
                </c:pt>
                <c:pt idx="4">
                  <c:v>40-49</c:v>
                </c:pt>
                <c:pt idx="5">
                  <c:v>50-59</c:v>
                </c:pt>
                <c:pt idx="6">
                  <c:v>60-69</c:v>
                </c:pt>
                <c:pt idx="7">
                  <c:v>70-79</c:v>
                </c:pt>
              </c:strCache>
            </c:strRef>
          </c:cat>
          <c:val>
            <c:numRef>
              <c:f>'Pivot report'!$B$57:$B$65</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3-AC42-47ED-AF5C-B1ECEB09C583}"/>
            </c:ext>
          </c:extLst>
        </c:ser>
        <c:dLbls>
          <c:showLegendKey val="0"/>
          <c:showVal val="0"/>
          <c:showCatName val="0"/>
          <c:showSerName val="0"/>
          <c:showPercent val="0"/>
          <c:showBubbleSize val="0"/>
        </c:dLbls>
        <c:gapWidth val="219"/>
        <c:overlap val="-27"/>
        <c:axId val="239666160"/>
        <c:axId val="239686320"/>
      </c:barChart>
      <c:catAx>
        <c:axId val="23966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686320"/>
        <c:crosses val="autoZero"/>
        <c:auto val="1"/>
        <c:lblAlgn val="ctr"/>
        <c:lblOffset val="100"/>
        <c:noMultiLvlLbl val="0"/>
      </c:catAx>
      <c:valAx>
        <c:axId val="239686320"/>
        <c:scaling>
          <c:orientation val="minMax"/>
        </c:scaling>
        <c:delete val="1"/>
        <c:axPos val="l"/>
        <c:numFmt formatCode="0" sourceLinked="1"/>
        <c:majorTickMark val="none"/>
        <c:minorTickMark val="none"/>
        <c:tickLblPos val="nextTo"/>
        <c:crossAx val="23966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report!PivotTable9</c:name>
    <c:fmtId val="1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747892266344706"/>
          <c:y val="0.21371719378470236"/>
          <c:w val="0.446975783519868"/>
          <c:h val="0.6147855448114824"/>
        </c:manualLayout>
      </c:layout>
      <c:pieChart>
        <c:varyColors val="1"/>
        <c:ser>
          <c:idx val="0"/>
          <c:order val="0"/>
          <c:tx>
            <c:strRef>
              <c:f>'Pivot report'!$B$71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5DA-4AF0-A7F0-DB46407F1BC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5DA-4AF0-A7F0-DB46407F1B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report'!$A$72:$A$74</c:f>
              <c:strCache>
                <c:ptCount val="2"/>
                <c:pt idx="0">
                  <c:v>Delay</c:v>
                </c:pt>
                <c:pt idx="1">
                  <c:v>Ontime</c:v>
                </c:pt>
              </c:strCache>
            </c:strRef>
          </c:cat>
          <c:val>
            <c:numRef>
              <c:f>'Pivot report'!$B$72:$B$74</c:f>
              <c:numCache>
                <c:formatCode>0</c:formatCode>
                <c:ptCount val="2"/>
                <c:pt idx="0">
                  <c:v>283</c:v>
                </c:pt>
                <c:pt idx="1">
                  <c:v>148</c:v>
                </c:pt>
              </c:numCache>
            </c:numRef>
          </c:val>
          <c:extLst>
            <c:ext xmlns:c16="http://schemas.microsoft.com/office/drawing/2014/chart" uri="{C3380CC4-5D6E-409C-BE32-E72D297353CC}">
              <c16:uniqueId val="{00000007-9A22-456B-95C9-535FCC98CC1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0.24041125373226704"/>
          <c:y val="4.1753917729342227E-2"/>
          <c:w val="0.56004142994472383"/>
          <c:h val="0.1546779815517237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report!PivotTable10</c:name>
    <c:fmtId val="1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519138618491115"/>
          <c:y val="0.18955890695316252"/>
          <c:w val="0.21953616780055224"/>
          <c:h val="0.36508420347268955"/>
        </c:manualLayout>
      </c:layout>
      <c:doughnutChart>
        <c:varyColors val="1"/>
        <c:ser>
          <c:idx val="0"/>
          <c:order val="0"/>
          <c:tx>
            <c:strRef>
              <c:f>'Pivot report'!$B$78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A0F-4619-94AA-3A7F62EE0BF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A0F-4619-94AA-3A7F62EE0BF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report'!$A$79:$A$81</c:f>
              <c:strCache>
                <c:ptCount val="2"/>
                <c:pt idx="0">
                  <c:v>Female</c:v>
                </c:pt>
                <c:pt idx="1">
                  <c:v>Male</c:v>
                </c:pt>
              </c:strCache>
            </c:strRef>
          </c:cat>
          <c:val>
            <c:numRef>
              <c:f>'Pivot report'!$B$79:$B$81</c:f>
              <c:numCache>
                <c:formatCode>0</c:formatCode>
                <c:ptCount val="2"/>
                <c:pt idx="0">
                  <c:v>194</c:v>
                </c:pt>
                <c:pt idx="1">
                  <c:v>237</c:v>
                </c:pt>
              </c:numCache>
            </c:numRef>
          </c:val>
          <c:extLst>
            <c:ext xmlns:c16="http://schemas.microsoft.com/office/drawing/2014/chart" uri="{C3380CC4-5D6E-409C-BE32-E72D297353CC}">
              <c16:uniqueId val="{00000007-F8B3-4B6B-8044-B3FA9528899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0697198128544567"/>
          <c:y val="6.0571328861451175E-2"/>
          <c:w val="0.32096281714785652"/>
          <c:h val="6.870405318472271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report'!$A$86:$A$94</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report'!$B$86:$B$94</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3-2DFD-464B-AB26-2F6617B205DD}"/>
            </c:ext>
          </c:extLst>
        </c:ser>
        <c:dLbls>
          <c:showLegendKey val="0"/>
          <c:showVal val="0"/>
          <c:showCatName val="0"/>
          <c:showSerName val="0"/>
          <c:showPercent val="0"/>
          <c:showBubbleSize val="0"/>
        </c:dLbls>
        <c:gapWidth val="40"/>
        <c:axId val="470665872"/>
        <c:axId val="470652912"/>
      </c:barChart>
      <c:catAx>
        <c:axId val="47066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52912"/>
        <c:crosses val="autoZero"/>
        <c:auto val="1"/>
        <c:lblAlgn val="ctr"/>
        <c:lblOffset val="100"/>
        <c:noMultiLvlLbl val="0"/>
      </c:catAx>
      <c:valAx>
        <c:axId val="470652912"/>
        <c:scaling>
          <c:orientation val="minMax"/>
        </c:scaling>
        <c:delete val="1"/>
        <c:axPos val="b"/>
        <c:numFmt formatCode="0" sourceLinked="1"/>
        <c:majorTickMark val="none"/>
        <c:minorTickMark val="none"/>
        <c:tickLblPos val="nextTo"/>
        <c:crossAx val="47066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926814973371049E-2"/>
          <c:y val="5.1804080311819538E-2"/>
          <c:w val="0.88584215686410084"/>
          <c:h val="0.60779751615318423"/>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report'!$E$5:$E$34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2-9408-4AF4-B2CD-9857C659B77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39710320"/>
        <c:axId val="239697840"/>
      </c:areaChart>
      <c:catAx>
        <c:axId val="2397103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39697840"/>
        <c:crosses val="autoZero"/>
        <c:auto val="1"/>
        <c:lblAlgn val="ctr"/>
        <c:lblOffset val="100"/>
        <c:noMultiLvlLbl val="0"/>
      </c:catAx>
      <c:valAx>
        <c:axId val="239697840"/>
        <c:scaling>
          <c:orientation val="minMax"/>
        </c:scaling>
        <c:delete val="1"/>
        <c:axPos val="l"/>
        <c:numFmt formatCode="General" sourceLinked="1"/>
        <c:majorTickMark val="out"/>
        <c:minorTickMark val="none"/>
        <c:tickLblPos val="nextTo"/>
        <c:crossAx val="239710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93825775299718E-2"/>
          <c:y val="3.1173209890694945E-2"/>
          <c:w val="0.9475385636523892"/>
          <c:h val="0.84465677682264484"/>
        </c:manualLayout>
      </c:layout>
      <c:areaChart>
        <c:grouping val="standard"/>
        <c:varyColors val="0"/>
        <c:ser>
          <c:idx val="0"/>
          <c:order val="0"/>
          <c:tx>
            <c:strRef>
              <c:f>'Pivot report'!$H$4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report'!$G$5:$G$34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report'!$H$5:$H$34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2-CD64-4FFC-B9A6-3F8261F71182}"/>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809611727"/>
        <c:axId val="809618447"/>
      </c:areaChart>
      <c:catAx>
        <c:axId val="80961172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27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09618447"/>
        <c:crosses val="autoZero"/>
        <c:auto val="1"/>
        <c:lblAlgn val="ctr"/>
        <c:lblOffset val="100"/>
        <c:noMultiLvlLbl val="0"/>
      </c:catAx>
      <c:valAx>
        <c:axId val="8096184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crossAx val="8096117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report'!$K$5:$K$33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2-FF78-414F-B165-5874BBA9C56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09641007"/>
        <c:axId val="809647247"/>
      </c:areaChart>
      <c:catAx>
        <c:axId val="8096410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27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809647247"/>
        <c:crosses val="autoZero"/>
        <c:auto val="1"/>
        <c:lblAlgn val="ctr"/>
        <c:lblOffset val="100"/>
        <c:noMultiLvlLbl val="0"/>
      </c:catAx>
      <c:valAx>
        <c:axId val="809647247"/>
        <c:scaling>
          <c:orientation val="minMax"/>
        </c:scaling>
        <c:delete val="1"/>
        <c:axPos val="l"/>
        <c:numFmt formatCode="0.00" sourceLinked="1"/>
        <c:majorTickMark val="out"/>
        <c:minorTickMark val="none"/>
        <c:tickLblPos val="nextTo"/>
        <c:crossAx val="8096410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 '!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 '!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 Layout '!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 Layout '!A1"/><Relationship Id="rId1" Type="http://schemas.openxmlformats.org/officeDocument/2006/relationships/chart" Target="../charts/chart10.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 Layout '!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13459</xdr:colOff>
      <xdr:row>48</xdr:row>
      <xdr:rowOff>389892</xdr:rowOff>
    </xdr:from>
    <xdr:to>
      <xdr:col>3</xdr:col>
      <xdr:colOff>2276820</xdr:colOff>
      <xdr:row>50</xdr:row>
      <xdr:rowOff>415133</xdr:rowOff>
    </xdr:to>
    <xdr:graphicFrame macro="">
      <xdr:nvGraphicFramePr>
        <xdr:cNvPr id="7" name="Chart 6">
          <a:extLst>
            <a:ext uri="{FF2B5EF4-FFF2-40B4-BE49-F238E27FC236}">
              <a16:creationId xmlns:a16="http://schemas.microsoft.com/office/drawing/2014/main" id="{45E58493-CB31-82A9-DB81-358B0A7AB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119938</xdr:colOff>
      <xdr:row>0</xdr:row>
      <xdr:rowOff>114300</xdr:rowOff>
    </xdr:from>
    <xdr:to>
      <xdr:col>7</xdr:col>
      <xdr:colOff>569518</xdr:colOff>
      <xdr:row>5</xdr:row>
      <xdr:rowOff>559</xdr:rowOff>
    </xdr:to>
    <xdr:sp macro="" textlink="">
      <xdr:nvSpPr>
        <xdr:cNvPr id="2" name="Rectangle: Rounded Corners 1">
          <a:extLst>
            <a:ext uri="{FF2B5EF4-FFF2-40B4-BE49-F238E27FC236}">
              <a16:creationId xmlns:a16="http://schemas.microsoft.com/office/drawing/2014/main" id="{0F00C354-42D9-198B-B7FB-30BC9E491AFD}"/>
            </a:ext>
          </a:extLst>
        </xdr:cNvPr>
        <xdr:cNvSpPr/>
      </xdr:nvSpPr>
      <xdr:spPr>
        <a:xfrm>
          <a:off x="119938" y="114300"/>
          <a:ext cx="4687553" cy="81471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93945</xdr:colOff>
      <xdr:row>0</xdr:row>
      <xdr:rowOff>114300</xdr:rowOff>
    </xdr:from>
    <xdr:to>
      <xdr:col>12</xdr:col>
      <xdr:colOff>915</xdr:colOff>
      <xdr:row>5</xdr:row>
      <xdr:rowOff>559</xdr:rowOff>
    </xdr:to>
    <xdr:sp macro="" textlink="">
      <xdr:nvSpPr>
        <xdr:cNvPr id="3" name="Rectangle: Rounded Corners 2">
          <a:extLst>
            <a:ext uri="{FF2B5EF4-FFF2-40B4-BE49-F238E27FC236}">
              <a16:creationId xmlns:a16="http://schemas.microsoft.com/office/drawing/2014/main" id="{059A64D6-2385-FCE5-16AD-67FF86738E73}"/>
            </a:ext>
          </a:extLst>
        </xdr:cNvPr>
        <xdr:cNvSpPr/>
      </xdr:nvSpPr>
      <xdr:spPr>
        <a:xfrm>
          <a:off x="4937342" y="114300"/>
          <a:ext cx="2317316" cy="81471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12</xdr:col>
      <xdr:colOff>151254</xdr:colOff>
      <xdr:row>0</xdr:row>
      <xdr:rowOff>114300</xdr:rowOff>
    </xdr:from>
    <xdr:to>
      <xdr:col>15</xdr:col>
      <xdr:colOff>365344</xdr:colOff>
      <xdr:row>10</xdr:row>
      <xdr:rowOff>52192</xdr:rowOff>
    </xdr:to>
    <xdr:sp macro="" textlink="">
      <xdr:nvSpPr>
        <xdr:cNvPr id="4" name="Rectangle: Rounded Corners 3">
          <a:extLst>
            <a:ext uri="{FF2B5EF4-FFF2-40B4-BE49-F238E27FC236}">
              <a16:creationId xmlns:a16="http://schemas.microsoft.com/office/drawing/2014/main" id="{AE54DDA8-145C-58DA-C6A7-99E6861A0DE6}"/>
            </a:ext>
          </a:extLst>
        </xdr:cNvPr>
        <xdr:cNvSpPr/>
      </xdr:nvSpPr>
      <xdr:spPr>
        <a:xfrm>
          <a:off x="7416231" y="114300"/>
          <a:ext cx="2032499" cy="1756301"/>
        </a:xfrm>
        <a:prstGeom prst="roundRect">
          <a:avLst>
            <a:gd name="adj" fmla="val 977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495719</xdr:colOff>
      <xdr:row>0</xdr:row>
      <xdr:rowOff>124738</xdr:rowOff>
    </xdr:from>
    <xdr:to>
      <xdr:col>19</xdr:col>
      <xdr:colOff>104386</xdr:colOff>
      <xdr:row>10</xdr:row>
      <xdr:rowOff>62630</xdr:rowOff>
    </xdr:to>
    <xdr:sp macro="" textlink="">
      <xdr:nvSpPr>
        <xdr:cNvPr id="5" name="Rectangle: Rounded Corners 4">
          <a:extLst>
            <a:ext uri="{FF2B5EF4-FFF2-40B4-BE49-F238E27FC236}">
              <a16:creationId xmlns:a16="http://schemas.microsoft.com/office/drawing/2014/main" id="{9C828371-94B9-2459-9AE7-1DFE96FA2BD3}"/>
            </a:ext>
          </a:extLst>
        </xdr:cNvPr>
        <xdr:cNvSpPr/>
      </xdr:nvSpPr>
      <xdr:spPr>
        <a:xfrm>
          <a:off x="9635263" y="124738"/>
          <a:ext cx="2050632" cy="1764910"/>
        </a:xfrm>
        <a:prstGeom prst="roundRect">
          <a:avLst>
            <a:gd name="adj" fmla="val 919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130376</xdr:colOff>
      <xdr:row>5</xdr:row>
      <xdr:rowOff>82986</xdr:rowOff>
    </xdr:from>
    <xdr:to>
      <xdr:col>1</xdr:col>
      <xdr:colOff>574109</xdr:colOff>
      <xdr:row>27</xdr:row>
      <xdr:rowOff>114823</xdr:rowOff>
    </xdr:to>
    <xdr:sp macro="" textlink="">
      <xdr:nvSpPr>
        <xdr:cNvPr id="6" name="Rectangle: Rounded Corners 5">
          <a:extLst>
            <a:ext uri="{FF2B5EF4-FFF2-40B4-BE49-F238E27FC236}">
              <a16:creationId xmlns:a16="http://schemas.microsoft.com/office/drawing/2014/main" id="{212C9893-A0B4-58EA-712F-94C026F40B36}"/>
            </a:ext>
          </a:extLst>
        </xdr:cNvPr>
        <xdr:cNvSpPr/>
      </xdr:nvSpPr>
      <xdr:spPr>
        <a:xfrm>
          <a:off x="130376" y="990129"/>
          <a:ext cx="1051519" cy="4023265"/>
        </a:xfrm>
        <a:prstGeom prst="roundRect">
          <a:avLst>
            <a:gd name="adj" fmla="val 1011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190501</xdr:colOff>
      <xdr:row>5</xdr:row>
      <xdr:rowOff>90714</xdr:rowOff>
    </xdr:from>
    <xdr:to>
      <xdr:col>8</xdr:col>
      <xdr:colOff>345254</xdr:colOff>
      <xdr:row>11</xdr:row>
      <xdr:rowOff>73069</xdr:rowOff>
    </xdr:to>
    <xdr:sp macro="" textlink="">
      <xdr:nvSpPr>
        <xdr:cNvPr id="8" name="Rectangle: Rounded Corners 7">
          <a:extLst>
            <a:ext uri="{FF2B5EF4-FFF2-40B4-BE49-F238E27FC236}">
              <a16:creationId xmlns:a16="http://schemas.microsoft.com/office/drawing/2014/main" id="{61599FCB-690F-8B82-0B12-4BA0C7213B8B}"/>
            </a:ext>
          </a:extLst>
        </xdr:cNvPr>
        <xdr:cNvSpPr/>
      </xdr:nvSpPr>
      <xdr:spPr>
        <a:xfrm>
          <a:off x="3229430" y="997857"/>
          <a:ext cx="1978110" cy="1070926"/>
        </a:xfrm>
        <a:prstGeom prst="roundRect">
          <a:avLst>
            <a:gd name="adj" fmla="val 1011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417286</xdr:colOff>
      <xdr:row>5</xdr:row>
      <xdr:rowOff>103864</xdr:rowOff>
    </xdr:from>
    <xdr:to>
      <xdr:col>12</xdr:col>
      <xdr:colOff>2320</xdr:colOff>
      <xdr:row>11</xdr:row>
      <xdr:rowOff>62631</xdr:rowOff>
    </xdr:to>
    <xdr:sp macro="" textlink="">
      <xdr:nvSpPr>
        <xdr:cNvPr id="9" name="Rectangle: Rounded Corners 8">
          <a:extLst>
            <a:ext uri="{FF2B5EF4-FFF2-40B4-BE49-F238E27FC236}">
              <a16:creationId xmlns:a16="http://schemas.microsoft.com/office/drawing/2014/main" id="{B78ECE40-89AB-E541-94CB-1212BC088468}"/>
            </a:ext>
          </a:extLst>
        </xdr:cNvPr>
        <xdr:cNvSpPr/>
      </xdr:nvSpPr>
      <xdr:spPr>
        <a:xfrm>
          <a:off x="5279572" y="1011007"/>
          <a:ext cx="2001058" cy="1047338"/>
        </a:xfrm>
        <a:prstGeom prst="roundRect">
          <a:avLst>
            <a:gd name="adj" fmla="val 1011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73069</xdr:colOff>
      <xdr:row>5</xdr:row>
      <xdr:rowOff>82987</xdr:rowOff>
    </xdr:from>
    <xdr:to>
      <xdr:col>5</xdr:col>
      <xdr:colOff>109111</xdr:colOff>
      <xdr:row>11</xdr:row>
      <xdr:rowOff>62630</xdr:rowOff>
    </xdr:to>
    <xdr:sp macro="" textlink="">
      <xdr:nvSpPr>
        <xdr:cNvPr id="10" name="Rectangle: Rounded Corners 9">
          <a:extLst>
            <a:ext uri="{FF2B5EF4-FFF2-40B4-BE49-F238E27FC236}">
              <a16:creationId xmlns:a16="http://schemas.microsoft.com/office/drawing/2014/main" id="{355E1CAC-8B52-C29C-B1C4-BFB26BBB47E5}"/>
            </a:ext>
          </a:extLst>
        </xdr:cNvPr>
        <xdr:cNvSpPr/>
      </xdr:nvSpPr>
      <xdr:spPr>
        <a:xfrm>
          <a:off x="1283918" y="1022439"/>
          <a:ext cx="1852316" cy="1106986"/>
        </a:xfrm>
        <a:prstGeom prst="roundRect">
          <a:avLst>
            <a:gd name="adj" fmla="val 1011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56293</xdr:colOff>
      <xdr:row>18</xdr:row>
      <xdr:rowOff>81703</xdr:rowOff>
    </xdr:from>
    <xdr:to>
      <xdr:col>12</xdr:col>
      <xdr:colOff>822</xdr:colOff>
      <xdr:row>27</xdr:row>
      <xdr:rowOff>100283</xdr:rowOff>
    </xdr:to>
    <xdr:sp macro="" textlink="">
      <xdr:nvSpPr>
        <xdr:cNvPr id="12" name="Rectangle: Rounded Corners 11">
          <a:extLst>
            <a:ext uri="{FF2B5EF4-FFF2-40B4-BE49-F238E27FC236}">
              <a16:creationId xmlns:a16="http://schemas.microsoft.com/office/drawing/2014/main" id="{D895AC8A-D95B-F178-4D5B-D86EBF9A21AB}"/>
            </a:ext>
          </a:extLst>
        </xdr:cNvPr>
        <xdr:cNvSpPr/>
      </xdr:nvSpPr>
      <xdr:spPr>
        <a:xfrm>
          <a:off x="1271864" y="3347417"/>
          <a:ext cx="6006154" cy="1651437"/>
        </a:xfrm>
        <a:prstGeom prst="roundRect">
          <a:avLst>
            <a:gd name="adj" fmla="val 1011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12</xdr:col>
      <xdr:colOff>182568</xdr:colOff>
      <xdr:row>11</xdr:row>
      <xdr:rowOff>41230</xdr:rowOff>
    </xdr:from>
    <xdr:to>
      <xdr:col>19</xdr:col>
      <xdr:colOff>93945</xdr:colOff>
      <xdr:row>27</xdr:row>
      <xdr:rowOff>62629</xdr:rowOff>
    </xdr:to>
    <xdr:sp macro="" textlink="">
      <xdr:nvSpPr>
        <xdr:cNvPr id="21" name="Rectangle: Rounded Corners 20">
          <a:extLst>
            <a:ext uri="{FF2B5EF4-FFF2-40B4-BE49-F238E27FC236}">
              <a16:creationId xmlns:a16="http://schemas.microsoft.com/office/drawing/2014/main" id="{6C53BA9D-1B02-57F2-BE07-3B13FF5F0CBC}"/>
            </a:ext>
          </a:extLst>
        </xdr:cNvPr>
        <xdr:cNvSpPr/>
      </xdr:nvSpPr>
      <xdr:spPr>
        <a:xfrm>
          <a:off x="7437226" y="2108025"/>
          <a:ext cx="4149349" cy="3027645"/>
        </a:xfrm>
        <a:prstGeom prst="roundRect">
          <a:avLst>
            <a:gd name="adj" fmla="val 322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341732</xdr:colOff>
      <xdr:row>1</xdr:row>
      <xdr:rowOff>7913</xdr:rowOff>
    </xdr:from>
    <xdr:to>
      <xdr:col>7</xdr:col>
      <xdr:colOff>519183</xdr:colOff>
      <xdr:row>2</xdr:row>
      <xdr:rowOff>155208</xdr:rowOff>
    </xdr:to>
    <xdr:sp macro="" textlink="">
      <xdr:nvSpPr>
        <xdr:cNvPr id="22" name="TextBox 21">
          <a:extLst>
            <a:ext uri="{FF2B5EF4-FFF2-40B4-BE49-F238E27FC236}">
              <a16:creationId xmlns:a16="http://schemas.microsoft.com/office/drawing/2014/main" id="{80779EE2-3BC7-D816-0553-F8FECDE17EC6}"/>
            </a:ext>
          </a:extLst>
        </xdr:cNvPr>
        <xdr:cNvSpPr txBox="1"/>
      </xdr:nvSpPr>
      <xdr:spPr>
        <a:xfrm>
          <a:off x="949518" y="189342"/>
          <a:ext cx="3824165" cy="328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b="1">
              <a:latin typeface="Times New Roman" panose="02020603050405020304" pitchFamily="18" charset="0"/>
              <a:cs typeface="Times New Roman" panose="02020603050405020304" pitchFamily="18" charset="0"/>
            </a:rPr>
            <a:t>Hospital Emergency</a:t>
          </a:r>
          <a:r>
            <a:rPr lang="en-IN" sz="1800" b="1" baseline="0">
              <a:latin typeface="Times New Roman" panose="02020603050405020304" pitchFamily="18" charset="0"/>
              <a:cs typeface="Times New Roman" panose="02020603050405020304" pitchFamily="18" charset="0"/>
            </a:rPr>
            <a:t> Room Dashboard</a:t>
          </a:r>
          <a:endParaRPr lang="en-IN" sz="18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172358</xdr:colOff>
      <xdr:row>1</xdr:row>
      <xdr:rowOff>45356</xdr:rowOff>
    </xdr:from>
    <xdr:to>
      <xdr:col>1</xdr:col>
      <xdr:colOff>298925</xdr:colOff>
      <xdr:row>4</xdr:row>
      <xdr:rowOff>117928</xdr:rowOff>
    </xdr:to>
    <xdr:pic>
      <xdr:nvPicPr>
        <xdr:cNvPr id="24" name="Picture 23">
          <a:extLst>
            <a:ext uri="{FF2B5EF4-FFF2-40B4-BE49-F238E27FC236}">
              <a16:creationId xmlns:a16="http://schemas.microsoft.com/office/drawing/2014/main" id="{41352DC5-2447-DCD7-4913-FACC9BACC7C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800" t="8413" r="19804" b="-2"/>
        <a:stretch>
          <a:fillRect/>
        </a:stretch>
      </xdr:blipFill>
      <xdr:spPr>
        <a:xfrm>
          <a:off x="172358" y="226785"/>
          <a:ext cx="734353" cy="616857"/>
        </a:xfrm>
        <a:prstGeom prst="rect">
          <a:avLst/>
        </a:prstGeom>
      </xdr:spPr>
    </xdr:pic>
    <xdr:clientData/>
  </xdr:twoCellAnchor>
  <xdr:twoCellAnchor>
    <xdr:from>
      <xdr:col>3</xdr:col>
      <xdr:colOff>58705</xdr:colOff>
      <xdr:row>2</xdr:row>
      <xdr:rowOff>133100</xdr:rowOff>
    </xdr:from>
    <xdr:to>
      <xdr:col>5</xdr:col>
      <xdr:colOff>408215</xdr:colOff>
      <xdr:row>4</xdr:row>
      <xdr:rowOff>98966</xdr:rowOff>
    </xdr:to>
    <xdr:sp macro="" textlink="">
      <xdr:nvSpPr>
        <xdr:cNvPr id="25" name="TextBox 24">
          <a:extLst>
            <a:ext uri="{FF2B5EF4-FFF2-40B4-BE49-F238E27FC236}">
              <a16:creationId xmlns:a16="http://schemas.microsoft.com/office/drawing/2014/main" id="{1535C381-1303-EE47-787C-9E4049F97FB9}"/>
            </a:ext>
          </a:extLst>
        </xdr:cNvPr>
        <xdr:cNvSpPr txBox="1"/>
      </xdr:nvSpPr>
      <xdr:spPr>
        <a:xfrm>
          <a:off x="1882062" y="495957"/>
          <a:ext cx="1565082" cy="328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b="0">
              <a:latin typeface="Times New Roman" panose="02020603050405020304" pitchFamily="18" charset="0"/>
              <a:cs typeface="Times New Roman" panose="02020603050405020304" pitchFamily="18" charset="0"/>
            </a:rPr>
            <a:t>Monthly report</a:t>
          </a:r>
        </a:p>
      </xdr:txBody>
    </xdr:sp>
    <xdr:clientData/>
  </xdr:twoCellAnchor>
  <xdr:twoCellAnchor>
    <xdr:from>
      <xdr:col>2</xdr:col>
      <xdr:colOff>478300</xdr:colOff>
      <xdr:row>6</xdr:row>
      <xdr:rowOff>158913</xdr:rowOff>
    </xdr:from>
    <xdr:to>
      <xdr:col>4</xdr:col>
      <xdr:colOff>385123</xdr:colOff>
      <xdr:row>8</xdr:row>
      <xdr:rowOff>124778</xdr:rowOff>
    </xdr:to>
    <xdr:sp macro="" textlink="">
      <xdr:nvSpPr>
        <xdr:cNvPr id="26" name="TextBox 25">
          <a:extLst>
            <a:ext uri="{FF2B5EF4-FFF2-40B4-BE49-F238E27FC236}">
              <a16:creationId xmlns:a16="http://schemas.microsoft.com/office/drawing/2014/main" id="{C1C37702-931D-76D5-A0BC-314D13EADED3}"/>
            </a:ext>
          </a:extLst>
        </xdr:cNvPr>
        <xdr:cNvSpPr txBox="1"/>
      </xdr:nvSpPr>
      <xdr:spPr>
        <a:xfrm>
          <a:off x="1690573" y="1249958"/>
          <a:ext cx="1119095" cy="329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500" b="0">
              <a:latin typeface="Times New Roman" panose="02020603050405020304" pitchFamily="18" charset="0"/>
              <a:cs typeface="Times New Roman" panose="02020603050405020304" pitchFamily="18" charset="0"/>
            </a:rPr>
            <a:t>No.of Patients </a:t>
          </a:r>
        </a:p>
      </xdr:txBody>
    </xdr:sp>
    <xdr:clientData/>
  </xdr:twoCellAnchor>
  <xdr:twoCellAnchor>
    <xdr:from>
      <xdr:col>2</xdr:col>
      <xdr:colOff>378765</xdr:colOff>
      <xdr:row>5</xdr:row>
      <xdr:rowOff>57313</xdr:rowOff>
    </xdr:from>
    <xdr:to>
      <xdr:col>4</xdr:col>
      <xdr:colOff>505118</xdr:colOff>
      <xdr:row>7</xdr:row>
      <xdr:rowOff>23179</xdr:rowOff>
    </xdr:to>
    <xdr:sp macro="" textlink="'Pivot report'!A5">
      <xdr:nvSpPr>
        <xdr:cNvPr id="28" name="TextBox 27">
          <a:extLst>
            <a:ext uri="{FF2B5EF4-FFF2-40B4-BE49-F238E27FC236}">
              <a16:creationId xmlns:a16="http://schemas.microsoft.com/office/drawing/2014/main" id="{F4FF62F6-36AE-2C48-268B-58C6070DDAD8}"/>
            </a:ext>
          </a:extLst>
        </xdr:cNvPr>
        <xdr:cNvSpPr txBox="1"/>
      </xdr:nvSpPr>
      <xdr:spPr>
        <a:xfrm>
          <a:off x="1591038" y="966518"/>
          <a:ext cx="1338625" cy="329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0262602-218E-4E40-89EB-85640127156B}" type="TxLink">
            <a:rPr lang="en-US" sz="1800" b="0" i="0" u="none" strike="noStrike">
              <a:solidFill>
                <a:srgbClr val="000000"/>
              </a:solidFill>
              <a:latin typeface="Times New Roman" panose="02020603050405020304" pitchFamily="18" charset="0"/>
              <a:ea typeface="Calibri"/>
              <a:cs typeface="Times New Roman" panose="02020603050405020304" pitchFamily="18" charset="0"/>
            </a:rPr>
            <a:pPr algn="ctr"/>
            <a:t>431</a:t>
          </a:fld>
          <a:endParaRPr lang="en-IN" sz="1800" b="0">
            <a:latin typeface="Times New Roman" panose="02020603050405020304" pitchFamily="18" charset="0"/>
            <a:cs typeface="Times New Roman" panose="02020603050405020304" pitchFamily="18" charset="0"/>
          </a:endParaRPr>
        </a:p>
      </xdr:txBody>
    </xdr:sp>
    <xdr:clientData/>
  </xdr:twoCellAnchor>
  <xdr:twoCellAnchor>
    <xdr:from>
      <xdr:col>5</xdr:col>
      <xdr:colOff>426357</xdr:colOff>
      <xdr:row>7</xdr:row>
      <xdr:rowOff>20613</xdr:rowOff>
    </xdr:from>
    <xdr:to>
      <xdr:col>8</xdr:col>
      <xdr:colOff>208643</xdr:colOff>
      <xdr:row>8</xdr:row>
      <xdr:rowOff>167907</xdr:rowOff>
    </xdr:to>
    <xdr:sp macro="" textlink="">
      <xdr:nvSpPr>
        <xdr:cNvPr id="32" name="TextBox 31">
          <a:extLst>
            <a:ext uri="{FF2B5EF4-FFF2-40B4-BE49-F238E27FC236}">
              <a16:creationId xmlns:a16="http://schemas.microsoft.com/office/drawing/2014/main" id="{6D09A0EE-46AF-B477-7B3C-4014B5A3235E}"/>
            </a:ext>
          </a:extLst>
        </xdr:cNvPr>
        <xdr:cNvSpPr txBox="1"/>
      </xdr:nvSpPr>
      <xdr:spPr>
        <a:xfrm>
          <a:off x="3465286" y="1290613"/>
          <a:ext cx="1605643" cy="328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500" b="0">
              <a:latin typeface="Times New Roman" panose="02020603050405020304" pitchFamily="18" charset="0"/>
              <a:cs typeface="Times New Roman" panose="02020603050405020304" pitchFamily="18" charset="0"/>
            </a:rPr>
            <a:t>Average Wait Time</a:t>
          </a:r>
        </a:p>
      </xdr:txBody>
    </xdr:sp>
    <xdr:clientData/>
  </xdr:twoCellAnchor>
  <xdr:twoCellAnchor>
    <xdr:from>
      <xdr:col>5</xdr:col>
      <xdr:colOff>579402</xdr:colOff>
      <xdr:row>5</xdr:row>
      <xdr:rowOff>46014</xdr:rowOff>
    </xdr:from>
    <xdr:to>
      <xdr:col>8</xdr:col>
      <xdr:colOff>97970</xdr:colOff>
      <xdr:row>7</xdr:row>
      <xdr:rowOff>11880</xdr:rowOff>
    </xdr:to>
    <xdr:sp macro="" textlink="'Pivot report'!A11">
      <xdr:nvSpPr>
        <xdr:cNvPr id="33" name="TextBox 32">
          <a:extLst>
            <a:ext uri="{FF2B5EF4-FFF2-40B4-BE49-F238E27FC236}">
              <a16:creationId xmlns:a16="http://schemas.microsoft.com/office/drawing/2014/main" id="{65B20152-D674-6FAE-11CA-68DDAB8A8F34}"/>
            </a:ext>
          </a:extLst>
        </xdr:cNvPr>
        <xdr:cNvSpPr txBox="1"/>
      </xdr:nvSpPr>
      <xdr:spPr>
        <a:xfrm>
          <a:off x="3618331" y="953157"/>
          <a:ext cx="1341925" cy="328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38DE6C6-DF03-4A92-B193-FBC739FDBD8C}" type="TxLink">
            <a:rPr lang="en-US" sz="1800" b="0" i="0" u="none" strike="noStrike">
              <a:solidFill>
                <a:srgbClr val="000000"/>
              </a:solidFill>
              <a:latin typeface="Times New Roman" panose="02020603050405020304" pitchFamily="18" charset="0"/>
              <a:ea typeface="Calibri"/>
              <a:cs typeface="Times New Roman" panose="02020603050405020304" pitchFamily="18" charset="0"/>
            </a:rPr>
            <a:pPr algn="ctr"/>
            <a:t>36.67</a:t>
          </a:fld>
          <a:endParaRPr lang="en-IN" sz="1800" b="0">
            <a:latin typeface="Times New Roman" panose="02020603050405020304" pitchFamily="18" charset="0"/>
            <a:cs typeface="Times New Roman" panose="02020603050405020304" pitchFamily="18" charset="0"/>
          </a:endParaRPr>
        </a:p>
      </xdr:txBody>
    </xdr:sp>
    <xdr:clientData/>
  </xdr:twoCellAnchor>
  <xdr:twoCellAnchor>
    <xdr:from>
      <xdr:col>8</xdr:col>
      <xdr:colOff>434260</xdr:colOff>
      <xdr:row>6</xdr:row>
      <xdr:rowOff>173014</xdr:rowOff>
    </xdr:from>
    <xdr:to>
      <xdr:col>12</xdr:col>
      <xdr:colOff>362856</xdr:colOff>
      <xdr:row>8</xdr:row>
      <xdr:rowOff>138879</xdr:rowOff>
    </xdr:to>
    <xdr:sp macro="" textlink="">
      <xdr:nvSpPr>
        <xdr:cNvPr id="34" name="TextBox 33">
          <a:extLst>
            <a:ext uri="{FF2B5EF4-FFF2-40B4-BE49-F238E27FC236}">
              <a16:creationId xmlns:a16="http://schemas.microsoft.com/office/drawing/2014/main" id="{2BB2013C-A9C9-61E9-BAD8-70009DD7D397}"/>
            </a:ext>
          </a:extLst>
        </xdr:cNvPr>
        <xdr:cNvSpPr txBox="1"/>
      </xdr:nvSpPr>
      <xdr:spPr>
        <a:xfrm>
          <a:off x="5296546" y="1261585"/>
          <a:ext cx="2350667" cy="328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500" b="0">
              <a:latin typeface="Times New Roman" panose="02020603050405020304" pitchFamily="18" charset="0"/>
              <a:cs typeface="Times New Roman" panose="02020603050405020304" pitchFamily="18" charset="0"/>
            </a:rPr>
            <a:t>Patient Satisfaction Score</a:t>
          </a:r>
        </a:p>
      </xdr:txBody>
    </xdr:sp>
    <xdr:clientData/>
  </xdr:twoCellAnchor>
  <xdr:twoCellAnchor>
    <xdr:from>
      <xdr:col>9</xdr:col>
      <xdr:colOff>174957</xdr:colOff>
      <xdr:row>5</xdr:row>
      <xdr:rowOff>94442</xdr:rowOff>
    </xdr:from>
    <xdr:to>
      <xdr:col>11</xdr:col>
      <xdr:colOff>301310</xdr:colOff>
      <xdr:row>7</xdr:row>
      <xdr:rowOff>60308</xdr:rowOff>
    </xdr:to>
    <xdr:sp macro="" textlink="'Pivot report'!A17">
      <xdr:nvSpPr>
        <xdr:cNvPr id="35" name="TextBox 34">
          <a:extLst>
            <a:ext uri="{FF2B5EF4-FFF2-40B4-BE49-F238E27FC236}">
              <a16:creationId xmlns:a16="http://schemas.microsoft.com/office/drawing/2014/main" id="{450DC154-4837-59F5-1A62-C0B8594C66D8}"/>
            </a:ext>
          </a:extLst>
        </xdr:cNvPr>
        <xdr:cNvSpPr txBox="1"/>
      </xdr:nvSpPr>
      <xdr:spPr>
        <a:xfrm>
          <a:off x="5657589" y="1005074"/>
          <a:ext cx="1344716" cy="330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33B64A0-A4E1-46A7-8886-48652A9678C4}" type="TxLink">
            <a:rPr lang="en-US" sz="1800" b="0" i="0" u="none" strike="noStrike">
              <a:solidFill>
                <a:srgbClr val="000000"/>
              </a:solidFill>
              <a:latin typeface="Times New Roman" panose="02020603050405020304" pitchFamily="18" charset="0"/>
              <a:ea typeface="Calibri"/>
              <a:cs typeface="Times New Roman" panose="02020603050405020304" pitchFamily="18" charset="0"/>
            </a:rPr>
            <a:pPr algn="ctr"/>
            <a:t>4.72</a:t>
          </a:fld>
          <a:endParaRPr lang="en-IN" sz="1800" b="0">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308429</xdr:colOff>
      <xdr:row>5</xdr:row>
      <xdr:rowOff>81642</xdr:rowOff>
    </xdr:from>
    <xdr:to>
      <xdr:col>4</xdr:col>
      <xdr:colOff>544287</xdr:colOff>
      <xdr:row>6</xdr:row>
      <xdr:rowOff>136072</xdr:rowOff>
    </xdr:to>
    <xdr:pic>
      <xdr:nvPicPr>
        <xdr:cNvPr id="37" name="Graphic 36" descr="Male profile with solid fill">
          <a:extLst>
            <a:ext uri="{FF2B5EF4-FFF2-40B4-BE49-F238E27FC236}">
              <a16:creationId xmlns:a16="http://schemas.microsoft.com/office/drawing/2014/main" id="{89D18921-65FA-ECED-32F1-A3D648C719C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39572" y="988785"/>
          <a:ext cx="235858" cy="235858"/>
        </a:xfrm>
        <a:prstGeom prst="rect">
          <a:avLst/>
        </a:prstGeom>
      </xdr:spPr>
    </xdr:pic>
    <xdr:clientData/>
  </xdr:twoCellAnchor>
  <xdr:twoCellAnchor editAs="oneCell">
    <xdr:from>
      <xdr:col>11</xdr:col>
      <xdr:colOff>208644</xdr:colOff>
      <xdr:row>5</xdr:row>
      <xdr:rowOff>145145</xdr:rowOff>
    </xdr:from>
    <xdr:to>
      <xdr:col>11</xdr:col>
      <xdr:colOff>426358</xdr:colOff>
      <xdr:row>7</xdr:row>
      <xdr:rowOff>2</xdr:rowOff>
    </xdr:to>
    <xdr:pic>
      <xdr:nvPicPr>
        <xdr:cNvPr id="39" name="Graphic 38" descr="Customer review with solid fill">
          <a:extLst>
            <a:ext uri="{FF2B5EF4-FFF2-40B4-BE49-F238E27FC236}">
              <a16:creationId xmlns:a16="http://schemas.microsoft.com/office/drawing/2014/main" id="{D43CD20C-B534-905E-9536-EEC7E7E21B5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94287" y="1052288"/>
          <a:ext cx="217714" cy="217714"/>
        </a:xfrm>
        <a:prstGeom prst="rect">
          <a:avLst/>
        </a:prstGeom>
      </xdr:spPr>
    </xdr:pic>
    <xdr:clientData/>
  </xdr:twoCellAnchor>
  <xdr:twoCellAnchor editAs="oneCell">
    <xdr:from>
      <xdr:col>7</xdr:col>
      <xdr:colOff>521929</xdr:colOff>
      <xdr:row>5</xdr:row>
      <xdr:rowOff>122786</xdr:rowOff>
    </xdr:from>
    <xdr:to>
      <xdr:col>8</xdr:col>
      <xdr:colOff>117929</xdr:colOff>
      <xdr:row>6</xdr:row>
      <xdr:rowOff>145144</xdr:rowOff>
    </xdr:to>
    <xdr:pic>
      <xdr:nvPicPr>
        <xdr:cNvPr id="41" name="Graphic 40" descr="Hourglass Finished with solid fill">
          <a:extLst>
            <a:ext uri="{FF2B5EF4-FFF2-40B4-BE49-F238E27FC236}">
              <a16:creationId xmlns:a16="http://schemas.microsoft.com/office/drawing/2014/main" id="{0534AD7A-F063-7C09-0057-0DCFDECF554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776429" y="1029929"/>
          <a:ext cx="203786" cy="203786"/>
        </a:xfrm>
        <a:prstGeom prst="rect">
          <a:avLst/>
        </a:prstGeom>
      </xdr:spPr>
    </xdr:pic>
    <xdr:clientData/>
  </xdr:twoCellAnchor>
  <xdr:twoCellAnchor editAs="oneCell">
    <xdr:from>
      <xdr:col>0</xdr:col>
      <xdr:colOff>172356</xdr:colOff>
      <xdr:row>5</xdr:row>
      <xdr:rowOff>108857</xdr:rowOff>
    </xdr:from>
    <xdr:to>
      <xdr:col>1</xdr:col>
      <xdr:colOff>530589</xdr:colOff>
      <xdr:row>27</xdr:row>
      <xdr:rowOff>63500</xdr:rowOff>
    </xdr:to>
    <mc:AlternateContent xmlns:mc="http://schemas.openxmlformats.org/markup-compatibility/2006" xmlns:a14="http://schemas.microsoft.com/office/drawing/2010/main">
      <mc:Choice Requires="a14">
        <xdr:graphicFrame macro="">
          <xdr:nvGraphicFramePr>
            <xdr:cNvPr id="42" name="Date (Month)">
              <a:extLst>
                <a:ext uri="{FF2B5EF4-FFF2-40B4-BE49-F238E27FC236}">
                  <a16:creationId xmlns:a16="http://schemas.microsoft.com/office/drawing/2014/main" id="{DE4C96C3-F4AB-4052-8499-8B10AF77B7A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72356" y="1010147"/>
              <a:ext cx="964556" cy="3920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553240</xdr:colOff>
      <xdr:row>8</xdr:row>
      <xdr:rowOff>30802</xdr:rowOff>
    </xdr:from>
    <xdr:to>
      <xdr:col>5</xdr:col>
      <xdr:colOff>246625</xdr:colOff>
      <xdr:row>13</xdr:row>
      <xdr:rowOff>58017</xdr:rowOff>
    </xdr:to>
    <xdr:graphicFrame macro="">
      <xdr:nvGraphicFramePr>
        <xdr:cNvPr id="45" name="Chart 44">
          <a:hlinkClick xmlns:r="http://schemas.openxmlformats.org/officeDocument/2006/relationships" r:id="rId8"/>
          <a:extLst>
            <a:ext uri="{FF2B5EF4-FFF2-40B4-BE49-F238E27FC236}">
              <a16:creationId xmlns:a16="http://schemas.microsoft.com/office/drawing/2014/main" id="{0A19ED21-8568-918A-685E-37B93EAA1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188686</xdr:colOff>
      <xdr:row>8</xdr:row>
      <xdr:rowOff>117929</xdr:rowOff>
    </xdr:from>
    <xdr:to>
      <xdr:col>8</xdr:col>
      <xdr:colOff>362857</xdr:colOff>
      <xdr:row>11</xdr:row>
      <xdr:rowOff>90715</xdr:rowOff>
    </xdr:to>
    <xdr:graphicFrame macro="">
      <xdr:nvGraphicFramePr>
        <xdr:cNvPr id="47" name="Chart 46">
          <a:hlinkClick xmlns:r="http://schemas.openxmlformats.org/officeDocument/2006/relationships" r:id="rId10"/>
          <a:extLst>
            <a:ext uri="{FF2B5EF4-FFF2-40B4-BE49-F238E27FC236}">
              <a16:creationId xmlns:a16="http://schemas.microsoft.com/office/drawing/2014/main" id="{62CFE46B-535E-AAD0-141E-81BB7A562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418681</xdr:colOff>
      <xdr:row>8</xdr:row>
      <xdr:rowOff>36284</xdr:rowOff>
    </xdr:from>
    <xdr:to>
      <xdr:col>12</xdr:col>
      <xdr:colOff>8063</xdr:colOff>
      <xdr:row>11</xdr:row>
      <xdr:rowOff>63500</xdr:rowOff>
    </xdr:to>
    <xdr:graphicFrame macro="">
      <xdr:nvGraphicFramePr>
        <xdr:cNvPr id="48" name="Chart 47">
          <a:hlinkClick xmlns:r="http://schemas.openxmlformats.org/officeDocument/2006/relationships" r:id="rId12"/>
          <a:extLst>
            <a:ext uri="{FF2B5EF4-FFF2-40B4-BE49-F238E27FC236}">
              <a16:creationId xmlns:a16="http://schemas.microsoft.com/office/drawing/2014/main" id="{A0FA6BB9-8311-42F5-80F1-6E34D8CEC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57359</xdr:colOff>
          <xdr:row>11</xdr:row>
          <xdr:rowOff>166886</xdr:rowOff>
        </xdr:from>
        <xdr:to>
          <xdr:col>12</xdr:col>
          <xdr:colOff>16389</xdr:colOff>
          <xdr:row>17</xdr:row>
          <xdr:rowOff>169584</xdr:rowOff>
        </xdr:to>
        <xdr:pic>
          <xdr:nvPicPr>
            <xdr:cNvPr id="55" name="Picture 54">
              <a:extLst>
                <a:ext uri="{FF2B5EF4-FFF2-40B4-BE49-F238E27FC236}">
                  <a16:creationId xmlns:a16="http://schemas.microsoft.com/office/drawing/2014/main" id="{642999E0-6D58-39DD-724A-0EDE7BB09DB0}"/>
                </a:ext>
              </a:extLst>
            </xdr:cNvPr>
            <xdr:cNvPicPr>
              <a:picLocks noChangeAspect="1" noChangeArrowheads="1"/>
              <a:extLst>
                <a:ext uri="{84589F7E-364E-4C9E-8A38-B11213B215E9}">
                  <a14:cameraTool cellRange="'Pivot report'!$A$49:$D$51" spid="_x0000_s2066"/>
                </a:ext>
              </a:extLst>
            </xdr:cNvPicPr>
          </xdr:nvPicPr>
          <xdr:blipFill>
            <a:blip xmlns:r="http://schemas.openxmlformats.org/officeDocument/2006/relationships" r:embed="rId14"/>
            <a:srcRect/>
            <a:stretch>
              <a:fillRect/>
            </a:stretch>
          </xdr:blipFill>
          <xdr:spPr bwMode="auto">
            <a:xfrm>
              <a:off x="1270004" y="2149725"/>
              <a:ext cx="6014062" cy="1084246"/>
            </a:xfrm>
            <a:prstGeom prst="rect">
              <a:avLst/>
            </a:prstGeom>
            <a:ln>
              <a:noFill/>
            </a:ln>
            <a:effectLst>
              <a:outerShdw blurRad="190500" algn="tl" rotWithShape="0">
                <a:srgbClr val="000000">
                  <a:alpha val="7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2</xdr:col>
      <xdr:colOff>68706</xdr:colOff>
      <xdr:row>18</xdr:row>
      <xdr:rowOff>80210</xdr:rowOff>
    </xdr:from>
    <xdr:to>
      <xdr:col>12</xdr:col>
      <xdr:colOff>0</xdr:colOff>
      <xdr:row>27</xdr:row>
      <xdr:rowOff>100264</xdr:rowOff>
    </xdr:to>
    <xdr:graphicFrame macro="">
      <xdr:nvGraphicFramePr>
        <xdr:cNvPr id="56" name="Chart 55">
          <a:extLst>
            <a:ext uri="{FF2B5EF4-FFF2-40B4-BE49-F238E27FC236}">
              <a16:creationId xmlns:a16="http://schemas.microsoft.com/office/drawing/2014/main" id="{B5386598-22C6-4235-823B-BB5275688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70186</xdr:colOff>
      <xdr:row>25</xdr:row>
      <xdr:rowOff>120317</xdr:rowOff>
    </xdr:from>
    <xdr:to>
      <xdr:col>8</xdr:col>
      <xdr:colOff>501316</xdr:colOff>
      <xdr:row>27</xdr:row>
      <xdr:rowOff>86182</xdr:rowOff>
    </xdr:to>
    <xdr:sp macro="" textlink="">
      <xdr:nvSpPr>
        <xdr:cNvPr id="57" name="TextBox 56">
          <a:extLst>
            <a:ext uri="{FF2B5EF4-FFF2-40B4-BE49-F238E27FC236}">
              <a16:creationId xmlns:a16="http://schemas.microsoft.com/office/drawing/2014/main" id="{D1A875CB-1AE0-4E98-8004-CE4D296DCD7B}"/>
            </a:ext>
          </a:extLst>
        </xdr:cNvPr>
        <xdr:cNvSpPr txBox="1"/>
      </xdr:nvSpPr>
      <xdr:spPr>
        <a:xfrm>
          <a:off x="3128212" y="4632159"/>
          <a:ext cx="2265946" cy="326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500" b="0">
              <a:latin typeface="Times New Roman" panose="02020603050405020304" pitchFamily="18" charset="0"/>
              <a:cs typeface="Times New Roman" panose="02020603050405020304" pitchFamily="18" charset="0"/>
            </a:rPr>
            <a:t>No.of Patient</a:t>
          </a:r>
          <a:r>
            <a:rPr lang="en-IN" sz="1500" b="0" baseline="0">
              <a:latin typeface="Times New Roman" panose="02020603050405020304" pitchFamily="18" charset="0"/>
              <a:cs typeface="Times New Roman" panose="02020603050405020304" pitchFamily="18" charset="0"/>
            </a:rPr>
            <a:t> By Age Group</a:t>
          </a:r>
          <a:r>
            <a:rPr lang="en-IN" sz="1500" b="0">
              <a:latin typeface="Times New Roman" panose="02020603050405020304" pitchFamily="18" charset="0"/>
              <a:cs typeface="Times New Roman" panose="02020603050405020304" pitchFamily="18" charset="0"/>
            </a:rPr>
            <a:t> </a:t>
          </a:r>
        </a:p>
      </xdr:txBody>
    </xdr:sp>
    <xdr:clientData/>
  </xdr:twoCellAnchor>
  <xdr:twoCellAnchor>
    <xdr:from>
      <xdr:col>11</xdr:col>
      <xdr:colOff>476250</xdr:colOff>
      <xdr:row>0</xdr:row>
      <xdr:rowOff>86591</xdr:rowOff>
    </xdr:from>
    <xdr:to>
      <xdr:col>15</xdr:col>
      <xdr:colOff>545523</xdr:colOff>
      <xdr:row>10</xdr:row>
      <xdr:rowOff>77932</xdr:rowOff>
    </xdr:to>
    <xdr:graphicFrame macro="">
      <xdr:nvGraphicFramePr>
        <xdr:cNvPr id="58" name="Chart 57">
          <a:extLst>
            <a:ext uri="{FF2B5EF4-FFF2-40B4-BE49-F238E27FC236}">
              <a16:creationId xmlns:a16="http://schemas.microsoft.com/office/drawing/2014/main" id="{D1042E2C-9688-479B-90CD-A11FEBC52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376469</xdr:colOff>
      <xdr:row>8</xdr:row>
      <xdr:rowOff>149254</xdr:rowOff>
    </xdr:from>
    <xdr:to>
      <xdr:col>15</xdr:col>
      <xdr:colOff>272642</xdr:colOff>
      <xdr:row>10</xdr:row>
      <xdr:rowOff>115119</xdr:rowOff>
    </xdr:to>
    <xdr:sp macro="" textlink="">
      <xdr:nvSpPr>
        <xdr:cNvPr id="59" name="TextBox 58">
          <a:extLst>
            <a:ext uri="{FF2B5EF4-FFF2-40B4-BE49-F238E27FC236}">
              <a16:creationId xmlns:a16="http://schemas.microsoft.com/office/drawing/2014/main" id="{A0106EEA-E929-464D-828C-802F78D9867B}"/>
            </a:ext>
          </a:extLst>
        </xdr:cNvPr>
        <xdr:cNvSpPr txBox="1"/>
      </xdr:nvSpPr>
      <xdr:spPr>
        <a:xfrm>
          <a:off x="7660909" y="1603346"/>
          <a:ext cx="1720779" cy="32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500" b="0">
              <a:latin typeface="Times New Roman" panose="02020603050405020304" pitchFamily="18" charset="0"/>
              <a:cs typeface="Times New Roman" panose="02020603050405020304" pitchFamily="18" charset="0"/>
            </a:rPr>
            <a:t>Patient</a:t>
          </a:r>
          <a:r>
            <a:rPr lang="en-IN" sz="1500" b="0" baseline="0">
              <a:latin typeface="Times New Roman" panose="02020603050405020304" pitchFamily="18" charset="0"/>
              <a:cs typeface="Times New Roman" panose="02020603050405020304" pitchFamily="18" charset="0"/>
            </a:rPr>
            <a:t> Attend Status</a:t>
          </a:r>
          <a:r>
            <a:rPr lang="en-IN" sz="1500" b="0">
              <a:latin typeface="Times New Roman" panose="02020603050405020304" pitchFamily="18" charset="0"/>
              <a:cs typeface="Times New Roman" panose="02020603050405020304" pitchFamily="18" charset="0"/>
            </a:rPr>
            <a:t> </a:t>
          </a:r>
        </a:p>
      </xdr:txBody>
    </xdr:sp>
    <xdr:clientData/>
  </xdr:twoCellAnchor>
  <xdr:twoCellAnchor>
    <xdr:from>
      <xdr:col>13</xdr:col>
      <xdr:colOff>589643</xdr:colOff>
      <xdr:row>0</xdr:row>
      <xdr:rowOff>27215</xdr:rowOff>
    </xdr:from>
    <xdr:to>
      <xdr:col>21</xdr:col>
      <xdr:colOff>299357</xdr:colOff>
      <xdr:row>15</xdr:row>
      <xdr:rowOff>48986</xdr:rowOff>
    </xdr:to>
    <xdr:graphicFrame macro="">
      <xdr:nvGraphicFramePr>
        <xdr:cNvPr id="60" name="Chart 59">
          <a:extLst>
            <a:ext uri="{FF2B5EF4-FFF2-40B4-BE49-F238E27FC236}">
              <a16:creationId xmlns:a16="http://schemas.microsoft.com/office/drawing/2014/main" id="{0AF74547-D1F0-4594-9B15-BE0DC616F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26</xdr:col>
      <xdr:colOff>0</xdr:colOff>
      <xdr:row>17</xdr:row>
      <xdr:rowOff>6796</xdr:rowOff>
    </xdr:from>
    <xdr:to>
      <xdr:col>30</xdr:col>
      <xdr:colOff>148633</xdr:colOff>
      <xdr:row>17</xdr:row>
      <xdr:rowOff>6796</xdr:rowOff>
    </xdr:to>
    <xdr:cxnSp macro="">
      <xdr:nvCxnSpPr>
        <xdr:cNvPr id="62" name="Straight Connector 61">
          <a:extLst>
            <a:ext uri="{FF2B5EF4-FFF2-40B4-BE49-F238E27FC236}">
              <a16:creationId xmlns:a16="http://schemas.microsoft.com/office/drawing/2014/main" id="{3F1E2CB1-2351-C397-B1C1-225F7AA8B5F4}"/>
            </a:ext>
          </a:extLst>
        </xdr:cNvPr>
        <xdr:cNvCxnSpPr/>
      </xdr:nvCxnSpPr>
      <xdr:spPr>
        <a:xfrm>
          <a:off x="15830550" y="3083371"/>
          <a:ext cx="258703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9</xdr:row>
      <xdr:rowOff>0</xdr:rowOff>
    </xdr:from>
    <xdr:to>
      <xdr:col>18</xdr:col>
      <xdr:colOff>505773</xdr:colOff>
      <xdr:row>10</xdr:row>
      <xdr:rowOff>146840</xdr:rowOff>
    </xdr:to>
    <xdr:sp macro="" textlink="">
      <xdr:nvSpPr>
        <xdr:cNvPr id="65" name="TextBox 64">
          <a:extLst>
            <a:ext uri="{FF2B5EF4-FFF2-40B4-BE49-F238E27FC236}">
              <a16:creationId xmlns:a16="http://schemas.microsoft.com/office/drawing/2014/main" id="{3C9F0C16-3C04-0809-CAAD-FB6060F752CA}"/>
            </a:ext>
          </a:extLst>
        </xdr:cNvPr>
        <xdr:cNvSpPr txBox="1"/>
      </xdr:nvSpPr>
      <xdr:spPr>
        <a:xfrm>
          <a:off x="9734550" y="1628775"/>
          <a:ext cx="1724973" cy="327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500" b="0">
              <a:latin typeface="Times New Roman" panose="02020603050405020304" pitchFamily="18" charset="0"/>
              <a:cs typeface="Times New Roman" panose="02020603050405020304" pitchFamily="18" charset="0"/>
            </a:rPr>
            <a:t>Gender</a:t>
          </a:r>
          <a:r>
            <a:rPr lang="en-IN" sz="1500" b="0" baseline="0">
              <a:latin typeface="Times New Roman" panose="02020603050405020304" pitchFamily="18" charset="0"/>
              <a:cs typeface="Times New Roman" panose="02020603050405020304" pitchFamily="18" charset="0"/>
            </a:rPr>
            <a:t> Wise Analysis</a:t>
          </a:r>
          <a:r>
            <a:rPr lang="en-IN" sz="1500" b="0">
              <a:latin typeface="Times New Roman" panose="02020603050405020304" pitchFamily="18" charset="0"/>
              <a:cs typeface="Times New Roman" panose="02020603050405020304" pitchFamily="18" charset="0"/>
            </a:rPr>
            <a:t> </a:t>
          </a:r>
        </a:p>
      </xdr:txBody>
    </xdr:sp>
    <xdr:clientData/>
  </xdr:twoCellAnchor>
  <xdr:twoCellAnchor>
    <xdr:from>
      <xdr:col>12</xdr:col>
      <xdr:colOff>304800</xdr:colOff>
      <xdr:row>11</xdr:row>
      <xdr:rowOff>70718</xdr:rowOff>
    </xdr:from>
    <xdr:to>
      <xdr:col>19</xdr:col>
      <xdr:colOff>0</xdr:colOff>
      <xdr:row>26</xdr:row>
      <xdr:rowOff>0</xdr:rowOff>
    </xdr:to>
    <xdr:graphicFrame macro="">
      <xdr:nvGraphicFramePr>
        <xdr:cNvPr id="66" name="Chart 65">
          <a:extLst>
            <a:ext uri="{FF2B5EF4-FFF2-40B4-BE49-F238E27FC236}">
              <a16:creationId xmlns:a16="http://schemas.microsoft.com/office/drawing/2014/main" id="{CCEA0929-1ABB-4E6F-9585-4C32F2C13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0</xdr:colOff>
      <xdr:row>25</xdr:row>
      <xdr:rowOff>69850</xdr:rowOff>
    </xdr:from>
    <xdr:to>
      <xdr:col>18</xdr:col>
      <xdr:colOff>0</xdr:colOff>
      <xdr:row>27</xdr:row>
      <xdr:rowOff>35715</xdr:rowOff>
    </xdr:to>
    <xdr:sp macro="" textlink="">
      <xdr:nvSpPr>
        <xdr:cNvPr id="67" name="TextBox 66">
          <a:extLst>
            <a:ext uri="{FF2B5EF4-FFF2-40B4-BE49-F238E27FC236}">
              <a16:creationId xmlns:a16="http://schemas.microsoft.com/office/drawing/2014/main" id="{8AD2D82D-6BD9-4D14-B1B6-48092A81FBC6}"/>
            </a:ext>
          </a:extLst>
        </xdr:cNvPr>
        <xdr:cNvSpPr txBox="1"/>
      </xdr:nvSpPr>
      <xdr:spPr>
        <a:xfrm>
          <a:off x="7912100" y="4673600"/>
          <a:ext cx="3048000" cy="334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500" b="0">
              <a:latin typeface="Times New Roman" panose="02020603050405020304" pitchFamily="18" charset="0"/>
              <a:cs typeface="Times New Roman" panose="02020603050405020304" pitchFamily="18" charset="0"/>
            </a:rPr>
            <a:t>No. of Patient By Department Referral</a:t>
          </a:r>
        </a:p>
      </xdr:txBody>
    </xdr:sp>
    <xdr:clientData/>
  </xdr:twoCellAnchor>
  <xdr:twoCellAnchor editAs="oneCell">
    <xdr:from>
      <xdr:col>8</xdr:col>
      <xdr:colOff>211084</xdr:colOff>
      <xdr:row>1</xdr:row>
      <xdr:rowOff>38210</xdr:rowOff>
    </xdr:from>
    <xdr:to>
      <xdr:col>12</xdr:col>
      <xdr:colOff>0</xdr:colOff>
      <xdr:row>4</xdr:row>
      <xdr:rowOff>0</xdr:rowOff>
    </xdr:to>
    <mc:AlternateContent xmlns:mc="http://schemas.openxmlformats.org/markup-compatibility/2006" xmlns:a14="http://schemas.microsoft.com/office/drawing/2010/main">
      <mc:Choice Requires="a14">
        <xdr:graphicFrame macro="">
          <xdr:nvGraphicFramePr>
            <xdr:cNvPr id="68" name="Date (Year)">
              <a:extLst>
                <a:ext uri="{FF2B5EF4-FFF2-40B4-BE49-F238E27FC236}">
                  <a16:creationId xmlns:a16="http://schemas.microsoft.com/office/drawing/2014/main" id="{3A6F4CA1-8D05-4745-BBC6-B8A5DD013CE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061665" y="218468"/>
              <a:ext cx="2206012" cy="502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83820</xdr:rowOff>
    </xdr:from>
    <xdr:to>
      <xdr:col>12</xdr:col>
      <xdr:colOff>586740</xdr:colOff>
      <xdr:row>22</xdr:row>
      <xdr:rowOff>152400</xdr:rowOff>
    </xdr:to>
    <xdr:graphicFrame macro="">
      <xdr:nvGraphicFramePr>
        <xdr:cNvPr id="2" name="Chart 1">
          <a:extLst>
            <a:ext uri="{FF2B5EF4-FFF2-40B4-BE49-F238E27FC236}">
              <a16:creationId xmlns:a16="http://schemas.microsoft.com/office/drawing/2014/main" id="{51D211FF-B35F-46D3-991F-434F17E08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30479</xdr:colOff>
      <xdr:row>0</xdr:row>
      <xdr:rowOff>53339</xdr:rowOff>
    </xdr:from>
    <xdr:to>
      <xdr:col>0</xdr:col>
      <xdr:colOff>487680</xdr:colOff>
      <xdr:row>2</xdr:row>
      <xdr:rowOff>144780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7DAC19C8-B997-CCE0-C863-568007F739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79" y="53339"/>
          <a:ext cx="457201" cy="4572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22860</xdr:rowOff>
    </xdr:from>
    <xdr:to>
      <xdr:col>17</xdr:col>
      <xdr:colOff>575234</xdr:colOff>
      <xdr:row>22</xdr:row>
      <xdr:rowOff>152400</xdr:rowOff>
    </xdr:to>
    <xdr:graphicFrame macro="">
      <xdr:nvGraphicFramePr>
        <xdr:cNvPr id="2" name="Chart 1">
          <a:extLst>
            <a:ext uri="{FF2B5EF4-FFF2-40B4-BE49-F238E27FC236}">
              <a16:creationId xmlns:a16="http://schemas.microsoft.com/office/drawing/2014/main" id="{C1E09382-0725-427D-ABCD-D46706391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194235</xdr:colOff>
      <xdr:row>0</xdr:row>
      <xdr:rowOff>82177</xdr:rowOff>
    </xdr:from>
    <xdr:to>
      <xdr:col>1</xdr:col>
      <xdr:colOff>38848</xdr:colOff>
      <xdr:row>3</xdr:row>
      <xdr:rowOff>1496</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B50466DB-59A1-4DC3-B857-470D52541CE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4235" y="82177"/>
          <a:ext cx="457201" cy="4572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594360</xdr:colOff>
      <xdr:row>23</xdr:row>
      <xdr:rowOff>160020</xdr:rowOff>
    </xdr:to>
    <xdr:graphicFrame macro="">
      <xdr:nvGraphicFramePr>
        <xdr:cNvPr id="2" name="Chart 1">
          <a:extLst>
            <a:ext uri="{FF2B5EF4-FFF2-40B4-BE49-F238E27FC236}">
              <a16:creationId xmlns:a16="http://schemas.microsoft.com/office/drawing/2014/main" id="{5D18ECB3-80F7-4128-8440-6E0D042AB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0.00522</cdr:x>
      <cdr:y>0.01163</cdr:y>
    </cdr:from>
    <cdr:to>
      <cdr:x>0.04617</cdr:x>
      <cdr:y>0.10856</cdr:y>
    </cdr:to>
    <cdr:pic>
      <cdr:nvPicPr>
        <cdr:cNvPr id="2"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50466DB-59A1-4DC3-B857-470D52541CE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1" y="50801"/>
          <a:ext cx="398780" cy="4232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71.503348726852" createdVersion="5" refreshedVersion="8" minRefreshableVersion="3" recordCount="0" supportSubquery="1" supportAdvancedDrill="1" xr:uid="{53DB16D6-00BA-442B-A108-6215D6D0C677}">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71.503348842591" createdVersion="5" refreshedVersion="8" minRefreshableVersion="3" recordCount="0" supportSubquery="1" supportAdvancedDrill="1" xr:uid="{5B83C76F-2467-486E-9A4B-23B6097AE0E7}">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71.503348958337" createdVersion="5" refreshedVersion="8" minRefreshableVersion="3" recordCount="0" supportSubquery="1" supportAdvancedDrill="1" xr:uid="{E33C7591-D962-4556-BC50-ADA6D97A1F8C}">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71.503349074075" createdVersion="5" refreshedVersion="8" minRefreshableVersion="3" recordCount="0" supportSubquery="1" supportAdvancedDrill="1" xr:uid="{261F71B0-FC5E-48DD-9A84-60F47305C366}">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71.503349537037" createdVersion="5" refreshedVersion="8" minRefreshableVersion="3" recordCount="0" supportSubquery="1" supportAdvancedDrill="1" xr:uid="{1E0DAB05-400A-4730-94FC-BC9FBD895AA3}">
  <cacheSource type="external" connectionId="3"/>
  <cacheFields count="4">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71.50334988426" createdVersion="5" refreshedVersion="8" minRefreshableVersion="3" recordCount="0" supportSubquery="1" supportAdvancedDrill="1" xr:uid="{CE9E9E8D-C96C-4519-85C5-B98A34CB25E8}">
  <cacheSource type="external" connectionId="3"/>
  <cacheFields count="4">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71.503350231484" createdVersion="5" refreshedVersion="8" minRefreshableVersion="3" recordCount="0" supportSubquery="1" supportAdvancedDrill="1" xr:uid="{99003D9F-197D-4327-8F6B-5053277685F3}">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71.503350578707" createdVersion="5" refreshedVersion="8" minRefreshableVersion="3" recordCount="0" supportSubquery="1" supportAdvancedDrill="1" xr:uid="{013E0702-12A8-4338-964E-9DAC5C7EFB72}">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71.503350925923" createdVersion="5" refreshedVersion="8" minRefreshableVersion="3" recordCount="0" supportSubquery="1" supportAdvancedDrill="1" xr:uid="{A01A3BE6-4280-4713-8F12-EF106335E8A0}">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71.503351273146" createdVersion="5" refreshedVersion="8" minRefreshableVersion="3" recordCount="0" supportSubquery="1" supportAdvancedDrill="1" xr:uid="{324FBBC6-F5B6-47D7-96D5-3FA3760CA56B}">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71.503351504631" createdVersion="5" refreshedVersion="8" minRefreshableVersion="3" recordCount="0" supportSubquery="1" supportAdvancedDrill="1" xr:uid="{106B9C1D-F7BF-4A02-BF09-CF0AFA7B0DE8}">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71.503351851854" createdVersion="5" refreshedVersion="8" minRefreshableVersion="3" recordCount="0" supportSubquery="1" supportAdvancedDrill="1" xr:uid="{DAC7A00C-499D-4BC4-B967-F1E756B2CF0C}">
  <cacheSource type="external" connectionId="3"/>
  <cacheFields count="4">
    <cacheField name="[Calender_Table].[Date (Month)].[Date (Month)]" caption="Date (Month)" numFmtId="0" hierarchy="1" level="1">
      <sharedItems count="1">
        <s v="May"/>
      </sharedItems>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63.535581018521" createdVersion="3" refreshedVersion="8" minRefreshableVersion="3" recordCount="0" supportSubquery="1" supportAdvancedDrill="1" xr:uid="{8A9BD0EE-DCB5-4D6E-AC04-0680DEC85EF8}">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618096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B61621-374C-4D46-AEFA-12D1D577018A}" name="PivotTable6" cacheId="5" applyNumberFormats="0" applyBorderFormats="0" applyFontFormats="0" applyPatternFormats="0" applyAlignmentFormats="0" applyWidthHeightFormats="1" dataCaption="Values" tag="a0331a36-29aa-411c-ba6c-cc05cd08c2a3" updatedVersion="8" minRefreshableVersion="3" itemPrintTitles="1" createdVersion="5" indent="0" outline="1" outlineData="1" multipleFieldFilters="0" chartFormat="7">
  <location ref="J4:K33"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s>
  <rowFields count="1">
    <field x="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0" subtotal="average" baseField="0" baseItem="0"/>
  </dataFields>
  <formats count="3">
    <format dxfId="2">
      <pivotArea outline="0" collapsedLevelsAreSubtotals="1" fieldPosition="0"/>
    </format>
    <format dxfId="1">
      <pivotArea collapsedLevelsAreSubtotals="1" fieldPosition="0">
        <references count="1">
          <reference field="2" count="0"/>
        </references>
      </pivotArea>
    </format>
    <format dxfId="0">
      <pivotArea grandRow="1"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B81F11-671E-487D-BE60-E7BEC785AB47}" name="PivotTable8" cacheId="7" applyNumberFormats="0" applyBorderFormats="0" applyFontFormats="0" applyPatternFormats="0" applyAlignmentFormats="0" applyWidthHeightFormats="1" dataCaption="Values" tag="89e809b8-e004-422d-a1e6-0985842cf0e0" updatedVersion="8" minRefreshableVersion="3" itemPrintTitles="1" createdVersion="5" indent="0" outline="1" outlineData="1" multipleFieldFilters="0" chartFormat="9">
  <location ref="A56: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3">
    <format dxfId="5">
      <pivotArea outline="0" collapsedLevelsAreSubtotals="1" fieldPosition="0"/>
    </format>
    <format dxfId="4">
      <pivotArea outline="0" collapsedLevelsAreSubtotals="1" fieldPosition="0"/>
    </format>
    <format dxfId="3">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A68182-5281-4B49-8221-A25B0C0238F0}" name="PivotTable10" cacheId="9" applyNumberFormats="0" applyBorderFormats="0" applyFontFormats="0" applyPatternFormats="0" applyAlignmentFormats="0" applyWidthHeightFormats="1" dataCaption="Values" tag="aa81f551-118f-482f-b010-1fba8b0381d8" updatedVersion="8" minRefreshableVersion="3" itemPrintTitles="1" createdVersion="5" indent="0" outline="1" outlineData="1" multipleFieldFilters="0" chartFormat="17">
  <location ref="A78:B8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8">
      <pivotArea outline="0" collapsedLevelsAreSubtotals="1" fieldPosition="0"/>
    </format>
    <format dxfId="7">
      <pivotArea outline="0" collapsedLevelsAreSubtotals="1" fieldPosition="0"/>
    </format>
    <format dxfId="6">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EA0C02-B9FE-466A-8265-0431F6FAEB52}" name="PivotTable7" cacheId="6" applyNumberFormats="0" applyBorderFormats="0" applyFontFormats="0" applyPatternFormats="0" applyAlignmentFormats="0" applyWidthHeightFormats="1" dataCaption="Values" tag="c543384d-40b6-4ae3-93a5-429ad68ec6bf" updatedVersion="8" minRefreshableVersion="3" itemPrintTitles="1" createdVersion="5" indent="0" outline="1" outlineData="1" multipleFieldFilters="0" chartFormat="6">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1">
      <pivotArea outline="0" collapsedLevelsAreSubtotals="1" fieldPosition="0"/>
    </format>
    <format dxfId="10">
      <pivotArea outline="0" collapsedLevelsAreSubtotals="1" fieldPosition="0"/>
    </format>
    <format dxfId="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E20517-43FC-4613-895F-14A9478E1041}" name="PivotTable9" cacheId="8" applyNumberFormats="0" applyBorderFormats="0" applyFontFormats="0" applyPatternFormats="0" applyAlignmentFormats="0" applyWidthHeightFormats="1" dataCaption="Values" tag="b5d867bc-598b-4e24-ab95-ce8e152f84da" updatedVersion="8" minRefreshableVersion="3" itemPrintTitles="1" createdVersion="5" indent="0" outline="1" outlineData="1" multipleFieldFilters="0" chartFormat="13">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14">
      <pivotArea outline="0" collapsedLevelsAreSubtotals="1" fieldPosition="0"/>
    </format>
    <format dxfId="13">
      <pivotArea outline="0" collapsedLevelsAreSubtotals="1" fieldPosition="0"/>
    </format>
    <format dxfId="12">
      <pivotArea outline="0" collapsedLevelsAreSubtotals="1"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24D84A-E5B7-4DC4-A364-369835482D3D}" name="PivotTable5" cacheId="4" applyNumberFormats="0" applyBorderFormats="0" applyFontFormats="0" applyPatternFormats="0" applyAlignmentFormats="0" applyWidthHeightFormats="1" dataCaption="Values" tag="23e6389d-9c97-4859-8c58-04227d2f9726" updatedVersion="8" minRefreshableVersion="3" itemPrintTitles="1" createdVersion="5" indent="0" outline="1" outlineData="1" multipleFieldFilters="0" chartFormat="10">
  <location ref="G4:H34"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s>
  <rowFields count="1">
    <field x="2"/>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0" subtotal="average" baseField="0" baseItem="0" numFmtId="2"/>
  </dataFields>
  <formats count="2">
    <format dxfId="16">
      <pivotArea outline="0" collapsedLevelsAreSubtotals="1" fieldPosition="0"/>
    </format>
    <format dxfId="15">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518B0A-60F7-442B-9463-F5A986EB3868}" name="PivotTable1" cacheId="1" applyNumberFormats="0" applyBorderFormats="0" applyFontFormats="0" applyPatternFormats="0" applyAlignmentFormats="0" applyWidthHeightFormats="1" dataCaption="Values" tag="3ed847d6-0cd7-44c4-995c-eefae6e728f2"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18">
      <pivotArea outline="0" collapsedLevelsAreSubtotals="1" fieldPosition="0"/>
    </format>
    <format dxfId="17">
      <pivotArea outline="0" collapsedLevelsAreSubtotals="1" fieldPosition="0"/>
    </format>
  </formats>
  <pivotHierarchies count="36">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115BFB-521C-4E78-A621-01FFB87929E0}" name="PivotTable12" cacheId="11" applyNumberFormats="0" applyBorderFormats="0" applyFontFormats="0" applyPatternFormats="0" applyAlignmentFormats="0" applyWidthHeightFormats="1" dataCaption="Values" tag="e191ebcd-d92c-4b10-8ba6-bec431b3e2b7" updatedVersion="8" minRefreshableVersion="3" itemPrintTitles="1" createdVersion="5" indent="0" outline="1" outlineData="1" multipleFieldFilters="0" chartFormat="20">
  <location ref="A97:A9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4">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dataOnly="0" labelOnly="1" fieldPosition="0">
        <references count="1">
          <reference field="3" count="0"/>
        </references>
      </pivotArea>
    </format>
  </formats>
  <pivotHierarchies count="36">
    <pivotHierarchy dragToData="1"/>
    <pivotHierarchy multipleItemSelectionAllowed="1" dragToData="1">
      <members count="1" level="1">
        <member name="[Calende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BA967E-F3E1-461A-B9B5-FA2A07C8F7E4}" name="PivotTable2" cacheId="2" applyNumberFormats="0" applyBorderFormats="0" applyFontFormats="0" applyPatternFormats="0" applyAlignmentFormats="0" applyWidthHeightFormats="1" dataCaption="Values" tag="a6187a53-11fb-4e06-925a-56ea036520b6" updatedVersion="8" minRefreshableVersion="3"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3">
    <format dxfId="25">
      <pivotArea outline="0" collapsedLevelsAreSubtotals="1" fieldPosition="0"/>
    </format>
    <format dxfId="24">
      <pivotArea outline="0" collapsedLevelsAreSubtotals="1" fieldPosition="0"/>
    </format>
    <format dxfId="23">
      <pivotArea outline="0" collapsedLevelsAreSubtotals="1" fieldPosition="0"/>
    </format>
  </formats>
  <pivotHierarchies count="36">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1F7217-2761-4BDB-BBD1-297BE9E81DDC}" name="PivotTable11" cacheId="10" applyNumberFormats="0" applyBorderFormats="0" applyFontFormats="0" applyPatternFormats="0" applyAlignmentFormats="0" applyWidthHeightFormats="1" dataCaption="Values" tag="d9b9102b-bf0b-41f4-a12c-d7a4bc14340d" updatedVersion="8" minRefreshableVersion="3" itemPrintTitles="1" createdVersion="5" indent="0" outline="1" outlineData="1" multipleFieldFilters="0" chartFormat="20">
  <location ref="A85:B9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3">
    <format dxfId="28">
      <pivotArea outline="0" collapsedLevelsAreSubtotals="1" fieldPosition="0"/>
    </format>
    <format dxfId="27">
      <pivotArea outline="0" collapsedLevelsAreSubtotals="1" fieldPosition="0"/>
    </format>
    <format dxfId="26">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338C8A-118E-41A2-9635-240892EEFD21}" name="PivotTable3" cacheId="3" applyNumberFormats="0" applyBorderFormats="0" applyFontFormats="0" applyPatternFormats="0" applyAlignmentFormats="0" applyWidthHeightFormats="1" dataCaption="Values" tag="584f4270-5721-4ea5-a952-80476275480f" updatedVersion="8" minRefreshableVersion="3"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2">
    <format dxfId="30">
      <pivotArea outline="0" collapsedLevelsAreSubtotals="1" fieldPosition="0"/>
    </format>
    <format dxfId="29">
      <pivotArea outline="0" collapsedLevelsAreSubtotals="1" fieldPosition="0"/>
    </format>
  </formats>
  <pivotHierarchies count="36">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A3E356-C6F4-494A-906A-88149E16BFB5}" name="PivotTable4" cacheId="0" applyNumberFormats="0" applyBorderFormats="0" applyFontFormats="0" applyPatternFormats="0" applyAlignmentFormats="0" applyWidthHeightFormats="1" dataCaption="Values" tag="12bbc934-8a90-47ad-adec-c44ee3d1584a" updatedVersion="8" minRefreshableVersion="3" itemPrintTitles="1" createdVersion="5" indent="0" outline="1" outlineData="1" multipleFieldFilters="0" chartFormat="10">
  <location ref="D4:E3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32">
      <pivotArea outline="0" collapsedLevelsAreSubtotals="1" fieldPosition="0"/>
    </format>
    <format dxfId="31">
      <pivotArea outline="0" collapsedLevelsAreSubtotals="1" fieldPosition="0"/>
    </format>
  </formats>
  <chartFormats count="2">
    <chartFormat chart="5"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66FB190-FDBC-4D4E-A7DF-8AEA224EFD94}"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46180967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2E10A92-91E1-488A-B41C-FBDADF47FE99}"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46180967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01A9242-54EE-4251-9098-F72AF506FF4B}" cache="Slicer_Date__Month" caption="Date (Month)" showCaption="0" level="1" style="SlicerStyleDark2" rowHeight="288000"/>
  <slicer name="Date (Year)" xr10:uid="{FE80E990-D8C5-4CD8-B303-04D974E1D760}" cache="Slicer_Date__Year" caption="Date (Year)" columnCount="2" showCaption="0" level="1" style="SlicerStyleDark2"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32B66-BCFF-4C02-89A4-EB26B936DCFF}">
  <dimension ref="A1:K99"/>
  <sheetViews>
    <sheetView topLeftCell="A86" zoomScale="114" workbookViewId="0">
      <selection activeCell="A98" sqref="A98:A99"/>
    </sheetView>
  </sheetViews>
  <sheetFormatPr defaultRowHeight="14.4" x14ac:dyDescent="0.3"/>
  <cols>
    <col min="1" max="1" width="27.44140625" customWidth="1"/>
    <col min="2" max="2" width="25.21875" customWidth="1"/>
    <col min="3" max="3" width="17.77734375" customWidth="1"/>
    <col min="4" max="4" width="34.6640625" customWidth="1"/>
    <col min="5" max="5" width="24.5546875" customWidth="1"/>
    <col min="7" max="7" width="12.88671875" customWidth="1"/>
    <col min="8" max="8" width="26.109375" customWidth="1"/>
    <col min="10" max="10" width="13.77734375" bestFit="1" customWidth="1"/>
    <col min="11" max="11" width="33.77734375" bestFit="1" customWidth="1"/>
    <col min="15" max="15" width="13.5546875" bestFit="1" customWidth="1"/>
    <col min="16" max="16" width="28.77734375" bestFit="1" customWidth="1"/>
    <col min="17" max="17" width="29.77734375" bestFit="1" customWidth="1"/>
  </cols>
  <sheetData>
    <row r="1" spans="1:11" ht="15.6" x14ac:dyDescent="0.3">
      <c r="D1" s="6"/>
      <c r="E1" s="6"/>
      <c r="F1" s="6"/>
      <c r="G1" s="6"/>
      <c r="H1" s="6"/>
      <c r="I1" s="6"/>
      <c r="J1" s="6"/>
      <c r="K1" s="6"/>
    </row>
    <row r="2" spans="1:11" ht="15.6" x14ac:dyDescent="0.3">
      <c r="D2" s="6"/>
      <c r="E2" s="6"/>
      <c r="F2" s="6"/>
      <c r="G2" s="6"/>
      <c r="H2" s="6"/>
      <c r="I2" s="6"/>
      <c r="J2" s="6"/>
      <c r="K2" s="6"/>
    </row>
    <row r="3" spans="1:11" ht="15.6" x14ac:dyDescent="0.3">
      <c r="A3" s="5" t="s">
        <v>1</v>
      </c>
      <c r="D3" s="18" t="s">
        <v>8</v>
      </c>
      <c r="E3" s="18"/>
      <c r="F3" s="6"/>
      <c r="G3" s="18" t="s">
        <v>10</v>
      </c>
      <c r="H3" s="18"/>
      <c r="I3" s="6"/>
      <c r="J3" s="18" t="s">
        <v>11</v>
      </c>
      <c r="K3" s="18"/>
    </row>
    <row r="4" spans="1:11" x14ac:dyDescent="0.3">
      <c r="A4" t="s">
        <v>0</v>
      </c>
      <c r="D4" s="1" t="s">
        <v>4</v>
      </c>
      <c r="E4" t="s">
        <v>0</v>
      </c>
      <c r="G4" s="1" t="s">
        <v>4</v>
      </c>
      <c r="H4" t="s">
        <v>2</v>
      </c>
      <c r="J4" s="1" t="s">
        <v>4</v>
      </c>
      <c r="K4" t="s">
        <v>3</v>
      </c>
    </row>
    <row r="5" spans="1:11" x14ac:dyDescent="0.3">
      <c r="A5" s="4">
        <v>431</v>
      </c>
      <c r="D5" s="2" t="s">
        <v>46</v>
      </c>
      <c r="E5" s="4">
        <v>13</v>
      </c>
      <c r="G5" s="2" t="s">
        <v>46</v>
      </c>
      <c r="H5" s="7">
        <v>35.692307692307693</v>
      </c>
      <c r="J5" s="2" t="s">
        <v>46</v>
      </c>
      <c r="K5" s="7">
        <v>4.166666666666667</v>
      </c>
    </row>
    <row r="6" spans="1:11" x14ac:dyDescent="0.3">
      <c r="D6" s="2" t="s">
        <v>47</v>
      </c>
      <c r="E6" s="4">
        <v>10</v>
      </c>
      <c r="G6" s="2" t="s">
        <v>47</v>
      </c>
      <c r="H6" s="7">
        <v>45.4</v>
      </c>
      <c r="J6" s="2" t="s">
        <v>47</v>
      </c>
      <c r="K6" s="7">
        <v>5.75</v>
      </c>
    </row>
    <row r="7" spans="1:11" x14ac:dyDescent="0.3">
      <c r="D7" s="2" t="s">
        <v>48</v>
      </c>
      <c r="E7" s="4">
        <v>8</v>
      </c>
      <c r="G7" s="2" t="s">
        <v>48</v>
      </c>
      <c r="H7" s="7">
        <v>29.375</v>
      </c>
      <c r="J7" s="2" t="s">
        <v>48</v>
      </c>
      <c r="K7" s="7">
        <v>4.75</v>
      </c>
    </row>
    <row r="8" spans="1:11" x14ac:dyDescent="0.3">
      <c r="D8" s="2" t="s">
        <v>49</v>
      </c>
      <c r="E8" s="4">
        <v>12</v>
      </c>
      <c r="G8" s="2" t="s">
        <v>49</v>
      </c>
      <c r="H8" s="7">
        <v>34.583333333333336</v>
      </c>
      <c r="J8" s="2" t="s">
        <v>49</v>
      </c>
      <c r="K8" s="7">
        <v>7</v>
      </c>
    </row>
    <row r="9" spans="1:11" x14ac:dyDescent="0.3">
      <c r="D9" s="2" t="s">
        <v>50</v>
      </c>
      <c r="E9" s="4">
        <v>19</v>
      </c>
      <c r="G9" s="2" t="s">
        <v>50</v>
      </c>
      <c r="H9" s="7">
        <v>38.684210526315788</v>
      </c>
      <c r="J9" s="2" t="s">
        <v>50</v>
      </c>
      <c r="K9" s="7">
        <v>3.1428571428571428</v>
      </c>
    </row>
    <row r="10" spans="1:11" x14ac:dyDescent="0.3">
      <c r="A10" t="s">
        <v>2</v>
      </c>
      <c r="D10" s="2" t="s">
        <v>51</v>
      </c>
      <c r="E10" s="4">
        <v>9</v>
      </c>
      <c r="G10" s="2" t="s">
        <v>51</v>
      </c>
      <c r="H10" s="7">
        <v>34.777777777777779</v>
      </c>
      <c r="J10" s="2" t="s">
        <v>51</v>
      </c>
      <c r="K10" s="7">
        <v>8</v>
      </c>
    </row>
    <row r="11" spans="1:11" x14ac:dyDescent="0.3">
      <c r="A11" s="7">
        <v>36.670533642691417</v>
      </c>
      <c r="D11" s="2" t="s">
        <v>52</v>
      </c>
      <c r="E11" s="4">
        <v>13</v>
      </c>
      <c r="G11" s="2" t="s">
        <v>52</v>
      </c>
      <c r="H11" s="7">
        <v>37.307692307692307</v>
      </c>
      <c r="J11" s="2" t="s">
        <v>52</v>
      </c>
      <c r="K11" s="7">
        <v>5.25</v>
      </c>
    </row>
    <row r="12" spans="1:11" x14ac:dyDescent="0.3">
      <c r="D12" s="2" t="s">
        <v>53</v>
      </c>
      <c r="E12" s="4">
        <v>19</v>
      </c>
      <c r="G12" s="2" t="s">
        <v>53</v>
      </c>
      <c r="H12" s="7">
        <v>35.631578947368418</v>
      </c>
      <c r="J12" s="2" t="s">
        <v>53</v>
      </c>
      <c r="K12" s="7">
        <v>4.5714285714285712</v>
      </c>
    </row>
    <row r="13" spans="1:11" x14ac:dyDescent="0.3">
      <c r="D13" s="2" t="s">
        <v>54</v>
      </c>
      <c r="E13" s="4">
        <v>10</v>
      </c>
      <c r="G13" s="2" t="s">
        <v>54</v>
      </c>
      <c r="H13" s="7">
        <v>36.6</v>
      </c>
      <c r="J13" s="2" t="s">
        <v>54</v>
      </c>
      <c r="K13" s="7">
        <v>2.75</v>
      </c>
    </row>
    <row r="14" spans="1:11" x14ac:dyDescent="0.3">
      <c r="D14" s="2" t="s">
        <v>55</v>
      </c>
      <c r="E14" s="4">
        <v>20</v>
      </c>
      <c r="G14" s="2" t="s">
        <v>55</v>
      </c>
      <c r="H14" s="7">
        <v>39.700000000000003</v>
      </c>
      <c r="J14" s="2" t="s">
        <v>55</v>
      </c>
      <c r="K14" s="7">
        <v>4.5</v>
      </c>
    </row>
    <row r="15" spans="1:11" x14ac:dyDescent="0.3">
      <c r="D15" s="2" t="s">
        <v>56</v>
      </c>
      <c r="E15" s="4">
        <v>15</v>
      </c>
      <c r="G15" s="2" t="s">
        <v>56</v>
      </c>
      <c r="H15" s="7">
        <v>37.4</v>
      </c>
      <c r="J15" s="2" t="s">
        <v>56</v>
      </c>
      <c r="K15" s="7">
        <v>5.5</v>
      </c>
    </row>
    <row r="16" spans="1:11" x14ac:dyDescent="0.3">
      <c r="A16" t="s">
        <v>3</v>
      </c>
      <c r="D16" s="2" t="s">
        <v>57</v>
      </c>
      <c r="E16" s="4">
        <v>13</v>
      </c>
      <c r="G16" s="2" t="s">
        <v>57</v>
      </c>
      <c r="H16" s="7">
        <v>27.76923076923077</v>
      </c>
      <c r="J16" s="2" t="s">
        <v>57</v>
      </c>
      <c r="K16" s="7">
        <v>5.6</v>
      </c>
    </row>
    <row r="17" spans="1:11" x14ac:dyDescent="0.3">
      <c r="A17" s="7">
        <v>4.7154471544715451</v>
      </c>
      <c r="D17" s="2" t="s">
        <v>58</v>
      </c>
      <c r="E17" s="4">
        <v>9</v>
      </c>
      <c r="G17" s="2" t="s">
        <v>58</v>
      </c>
      <c r="H17" s="7">
        <v>38.777777777777779</v>
      </c>
      <c r="J17" s="2" t="s">
        <v>58</v>
      </c>
      <c r="K17" s="7">
        <v>5.75</v>
      </c>
    </row>
    <row r="18" spans="1:11" x14ac:dyDescent="0.3">
      <c r="D18" s="2" t="s">
        <v>59</v>
      </c>
      <c r="E18" s="4">
        <v>19</v>
      </c>
      <c r="G18" s="2" t="s">
        <v>59</v>
      </c>
      <c r="H18" s="7">
        <v>31</v>
      </c>
      <c r="J18" s="2" t="s">
        <v>59</v>
      </c>
      <c r="K18" s="7">
        <v>3.4444444444444446</v>
      </c>
    </row>
    <row r="19" spans="1:11" x14ac:dyDescent="0.3">
      <c r="D19" s="2" t="s">
        <v>60</v>
      </c>
      <c r="E19" s="4">
        <v>14</v>
      </c>
      <c r="G19" s="2" t="s">
        <v>60</v>
      </c>
      <c r="H19" s="7">
        <v>35.928571428571431</v>
      </c>
      <c r="J19" s="2" t="s">
        <v>60</v>
      </c>
      <c r="K19" s="7">
        <v>1.5</v>
      </c>
    </row>
    <row r="20" spans="1:11" x14ac:dyDescent="0.3">
      <c r="D20" s="2" t="s">
        <v>61</v>
      </c>
      <c r="E20" s="4">
        <v>17</v>
      </c>
      <c r="G20" s="2" t="s">
        <v>61</v>
      </c>
      <c r="H20" s="7">
        <v>37.882352941176471</v>
      </c>
      <c r="J20" s="2" t="s">
        <v>61</v>
      </c>
      <c r="K20" s="7">
        <v>3.6666666666666665</v>
      </c>
    </row>
    <row r="21" spans="1:11" x14ac:dyDescent="0.3">
      <c r="D21" s="2" t="s">
        <v>62</v>
      </c>
      <c r="E21" s="4">
        <v>17</v>
      </c>
      <c r="G21" s="2" t="s">
        <v>62</v>
      </c>
      <c r="H21" s="7">
        <v>40.588235294117645</v>
      </c>
      <c r="J21" s="2" t="s">
        <v>62</v>
      </c>
      <c r="K21" s="7">
        <v>4.4285714285714288</v>
      </c>
    </row>
    <row r="22" spans="1:11" x14ac:dyDescent="0.3">
      <c r="D22" s="2" t="s">
        <v>63</v>
      </c>
      <c r="E22" s="4">
        <v>15</v>
      </c>
      <c r="G22" s="2" t="s">
        <v>63</v>
      </c>
      <c r="H22" s="7">
        <v>34.533333333333331</v>
      </c>
      <c r="J22" s="2" t="s">
        <v>63</v>
      </c>
      <c r="K22" s="7">
        <v>6</v>
      </c>
    </row>
    <row r="23" spans="1:11" x14ac:dyDescent="0.3">
      <c r="D23" s="2" t="s">
        <v>64</v>
      </c>
      <c r="E23" s="4">
        <v>9</v>
      </c>
      <c r="G23" s="2" t="s">
        <v>64</v>
      </c>
      <c r="H23" s="7">
        <v>40.333333333333336</v>
      </c>
      <c r="J23" s="2" t="s">
        <v>64</v>
      </c>
      <c r="K23" s="7">
        <v>2.6666666666666665</v>
      </c>
    </row>
    <row r="24" spans="1:11" x14ac:dyDescent="0.3">
      <c r="D24" s="2" t="s">
        <v>65</v>
      </c>
      <c r="E24" s="4">
        <v>14</v>
      </c>
      <c r="G24" s="2" t="s">
        <v>65</v>
      </c>
      <c r="H24" s="7">
        <v>35.285714285714285</v>
      </c>
      <c r="J24" s="2" t="s">
        <v>65</v>
      </c>
      <c r="K24" s="7">
        <v>7.5</v>
      </c>
    </row>
    <row r="25" spans="1:11" x14ac:dyDescent="0.3">
      <c r="D25" s="2" t="s">
        <v>66</v>
      </c>
      <c r="E25" s="4">
        <v>22</v>
      </c>
      <c r="G25" s="2" t="s">
        <v>66</v>
      </c>
      <c r="H25" s="7">
        <v>35.5</v>
      </c>
      <c r="J25" s="2" t="s">
        <v>66</v>
      </c>
      <c r="K25" s="7">
        <v>4.5</v>
      </c>
    </row>
    <row r="26" spans="1:11" x14ac:dyDescent="0.3">
      <c r="D26" s="2" t="s">
        <v>67</v>
      </c>
      <c r="E26" s="4">
        <v>16</v>
      </c>
      <c r="G26" s="2" t="s">
        <v>67</v>
      </c>
      <c r="H26" s="7">
        <v>38.5625</v>
      </c>
      <c r="J26" s="2" t="s">
        <v>67</v>
      </c>
      <c r="K26" s="7">
        <v>8</v>
      </c>
    </row>
    <row r="27" spans="1:11" x14ac:dyDescent="0.3">
      <c r="D27" s="2" t="s">
        <v>68</v>
      </c>
      <c r="E27" s="4">
        <v>22</v>
      </c>
      <c r="G27" s="2" t="s">
        <v>68</v>
      </c>
      <c r="H27" s="7">
        <v>42.727272727272727</v>
      </c>
      <c r="J27" s="2" t="s">
        <v>68</v>
      </c>
      <c r="K27" s="7">
        <v>4.3636363636363633</v>
      </c>
    </row>
    <row r="28" spans="1:11" x14ac:dyDescent="0.3">
      <c r="D28" s="2" t="s">
        <v>69</v>
      </c>
      <c r="E28" s="4">
        <v>12</v>
      </c>
      <c r="G28" s="2" t="s">
        <v>69</v>
      </c>
      <c r="H28" s="7">
        <v>37.416666666666664</v>
      </c>
      <c r="J28" s="2" t="s">
        <v>69</v>
      </c>
      <c r="K28" s="7">
        <v>0</v>
      </c>
    </row>
    <row r="29" spans="1:11" x14ac:dyDescent="0.3">
      <c r="D29" s="2" t="s">
        <v>70</v>
      </c>
      <c r="E29" s="4">
        <v>20</v>
      </c>
      <c r="G29" s="2" t="s">
        <v>70</v>
      </c>
      <c r="H29" s="7">
        <v>32.450000000000003</v>
      </c>
      <c r="J29" s="2" t="s">
        <v>70</v>
      </c>
      <c r="K29" s="7">
        <v>10</v>
      </c>
    </row>
    <row r="30" spans="1:11" x14ac:dyDescent="0.3">
      <c r="D30" s="2" t="s">
        <v>71</v>
      </c>
      <c r="E30" s="4">
        <v>18</v>
      </c>
      <c r="G30" s="2" t="s">
        <v>71</v>
      </c>
      <c r="H30" s="7">
        <v>40.055555555555557</v>
      </c>
      <c r="J30" s="2" t="s">
        <v>72</v>
      </c>
      <c r="K30" s="7">
        <v>6.75</v>
      </c>
    </row>
    <row r="31" spans="1:11" x14ac:dyDescent="0.3">
      <c r="D31" s="2" t="s">
        <v>72</v>
      </c>
      <c r="E31" s="4">
        <v>18</v>
      </c>
      <c r="G31" s="2" t="s">
        <v>72</v>
      </c>
      <c r="H31" s="7">
        <v>31.666666666666668</v>
      </c>
      <c r="J31" s="2" t="s">
        <v>73</v>
      </c>
      <c r="K31" s="7">
        <v>7</v>
      </c>
    </row>
    <row r="32" spans="1:11" x14ac:dyDescent="0.3">
      <c r="D32" s="2" t="s">
        <v>73</v>
      </c>
      <c r="E32" s="4">
        <v>13</v>
      </c>
      <c r="G32" s="2" t="s">
        <v>73</v>
      </c>
      <c r="H32" s="7">
        <v>39.769230769230766</v>
      </c>
      <c r="J32" s="2" t="s">
        <v>74</v>
      </c>
      <c r="K32" s="7">
        <v>3.3333333333333335</v>
      </c>
    </row>
    <row r="33" spans="1:11" x14ac:dyDescent="0.3">
      <c r="D33" s="2" t="s">
        <v>74</v>
      </c>
      <c r="E33" s="4">
        <v>15</v>
      </c>
      <c r="G33" s="2" t="s">
        <v>74</v>
      </c>
      <c r="H33" s="7">
        <v>36.733333333333334</v>
      </c>
      <c r="J33" s="2" t="s">
        <v>5</v>
      </c>
      <c r="K33" s="7">
        <v>4.7154471544715451</v>
      </c>
    </row>
    <row r="34" spans="1:11" x14ac:dyDescent="0.3">
      <c r="D34" s="2" t="s">
        <v>5</v>
      </c>
      <c r="E34" s="4">
        <v>431</v>
      </c>
      <c r="G34" s="2" t="s">
        <v>5</v>
      </c>
      <c r="H34" s="7">
        <v>36.670533642691417</v>
      </c>
    </row>
    <row r="39" spans="1:11" x14ac:dyDescent="0.3">
      <c r="A39" s="1" t="s">
        <v>4</v>
      </c>
      <c r="B39" t="s">
        <v>12</v>
      </c>
      <c r="C39" t="s">
        <v>15</v>
      </c>
    </row>
    <row r="40" spans="1:11" x14ac:dyDescent="0.3">
      <c r="A40" s="2" t="s">
        <v>13</v>
      </c>
      <c r="B40" s="7">
        <v>224</v>
      </c>
      <c r="C40" s="8">
        <v>0.51972157772621808</v>
      </c>
    </row>
    <row r="41" spans="1:11" x14ac:dyDescent="0.3">
      <c r="A41" s="2" t="s">
        <v>14</v>
      </c>
      <c r="B41" s="7">
        <v>207</v>
      </c>
      <c r="C41" s="8">
        <v>0.48027842227378192</v>
      </c>
    </row>
    <row r="42" spans="1:11" x14ac:dyDescent="0.3">
      <c r="A42" s="2" t="s">
        <v>5</v>
      </c>
      <c r="B42" s="7">
        <v>431</v>
      </c>
      <c r="C42" s="8">
        <v>1</v>
      </c>
    </row>
    <row r="49" spans="1:4" ht="35.4" customHeight="1" x14ac:dyDescent="0.3">
      <c r="A49" s="14" t="s">
        <v>16</v>
      </c>
      <c r="B49" s="14" t="s">
        <v>17</v>
      </c>
      <c r="C49" s="14" t="s">
        <v>18</v>
      </c>
      <c r="D49" s="10"/>
    </row>
    <row r="50" spans="1:4" ht="34.950000000000003" customHeight="1" x14ac:dyDescent="0.3">
      <c r="A50" s="12" t="str">
        <f>A41</f>
        <v>Not Admitted</v>
      </c>
      <c r="B50" s="12">
        <f>B41</f>
        <v>207</v>
      </c>
      <c r="C50" s="13">
        <f>C41</f>
        <v>0.48027842227378192</v>
      </c>
      <c r="D50" s="9"/>
    </row>
    <row r="51" spans="1:4" ht="34.950000000000003" customHeight="1" x14ac:dyDescent="0.3">
      <c r="A51" s="12" t="str">
        <f>A40</f>
        <v>Admitted</v>
      </c>
      <c r="B51" s="12">
        <f>B40</f>
        <v>224</v>
      </c>
      <c r="C51" s="13">
        <f>C40</f>
        <v>0.51972157772621808</v>
      </c>
      <c r="D51" s="9"/>
    </row>
    <row r="55" spans="1:4" x14ac:dyDescent="0.3">
      <c r="A55" t="s">
        <v>28</v>
      </c>
    </row>
    <row r="56" spans="1:4" x14ac:dyDescent="0.3">
      <c r="A56" s="1" t="s">
        <v>4</v>
      </c>
      <c r="B56" t="s">
        <v>27</v>
      </c>
    </row>
    <row r="57" spans="1:4" x14ac:dyDescent="0.3">
      <c r="A57" s="2" t="s">
        <v>19</v>
      </c>
      <c r="B57" s="11">
        <v>42</v>
      </c>
    </row>
    <row r="58" spans="1:4" x14ac:dyDescent="0.3">
      <c r="A58" s="2" t="s">
        <v>20</v>
      </c>
      <c r="B58" s="11">
        <v>46</v>
      </c>
    </row>
    <row r="59" spans="1:4" x14ac:dyDescent="0.3">
      <c r="A59" s="2" t="s">
        <v>21</v>
      </c>
      <c r="B59" s="11">
        <v>54</v>
      </c>
    </row>
    <row r="60" spans="1:4" x14ac:dyDescent="0.3">
      <c r="A60" s="2" t="s">
        <v>22</v>
      </c>
      <c r="B60" s="11">
        <v>68</v>
      </c>
    </row>
    <row r="61" spans="1:4" x14ac:dyDescent="0.3">
      <c r="A61" s="2" t="s">
        <v>23</v>
      </c>
      <c r="B61" s="11">
        <v>62</v>
      </c>
    </row>
    <row r="62" spans="1:4" x14ac:dyDescent="0.3">
      <c r="A62" s="2" t="s">
        <v>24</v>
      </c>
      <c r="B62" s="11">
        <v>52</v>
      </c>
    </row>
    <row r="63" spans="1:4" x14ac:dyDescent="0.3">
      <c r="A63" s="2" t="s">
        <v>25</v>
      </c>
      <c r="B63" s="11">
        <v>54</v>
      </c>
    </row>
    <row r="64" spans="1:4" x14ac:dyDescent="0.3">
      <c r="A64" s="2" t="s">
        <v>26</v>
      </c>
      <c r="B64" s="11">
        <v>53</v>
      </c>
    </row>
    <row r="65" spans="1:2" x14ac:dyDescent="0.3">
      <c r="A65" s="2" t="s">
        <v>5</v>
      </c>
      <c r="B65" s="11">
        <v>431</v>
      </c>
    </row>
    <row r="70" spans="1:2" x14ac:dyDescent="0.3">
      <c r="A70" t="s">
        <v>32</v>
      </c>
    </row>
    <row r="71" spans="1:2" x14ac:dyDescent="0.3">
      <c r="A71" s="1" t="s">
        <v>4</v>
      </c>
      <c r="B71" t="s">
        <v>31</v>
      </c>
    </row>
    <row r="72" spans="1:2" x14ac:dyDescent="0.3">
      <c r="A72" s="2" t="s">
        <v>30</v>
      </c>
      <c r="B72" s="11">
        <v>283</v>
      </c>
    </row>
    <row r="73" spans="1:2" x14ac:dyDescent="0.3">
      <c r="A73" s="2" t="s">
        <v>29</v>
      </c>
      <c r="B73" s="11">
        <v>148</v>
      </c>
    </row>
    <row r="74" spans="1:2" x14ac:dyDescent="0.3">
      <c r="A74" s="2" t="s">
        <v>5</v>
      </c>
      <c r="B74" s="11">
        <v>431</v>
      </c>
    </row>
    <row r="77" spans="1:2" x14ac:dyDescent="0.3">
      <c r="A77" s="2" t="s">
        <v>36</v>
      </c>
    </row>
    <row r="78" spans="1:2" x14ac:dyDescent="0.3">
      <c r="A78" s="1" t="s">
        <v>4</v>
      </c>
      <c r="B78" t="s">
        <v>35</v>
      </c>
    </row>
    <row r="79" spans="1:2" x14ac:dyDescent="0.3">
      <c r="A79" s="2" t="s">
        <v>33</v>
      </c>
      <c r="B79" s="11">
        <v>194</v>
      </c>
    </row>
    <row r="80" spans="1:2" x14ac:dyDescent="0.3">
      <c r="A80" s="2" t="s">
        <v>34</v>
      </c>
      <c r="B80" s="11">
        <v>237</v>
      </c>
    </row>
    <row r="81" spans="1:2" x14ac:dyDescent="0.3">
      <c r="A81" s="2" t="s">
        <v>5</v>
      </c>
      <c r="B81" s="11">
        <v>431</v>
      </c>
    </row>
    <row r="85" spans="1:2" x14ac:dyDescent="0.3">
      <c r="A85" s="1" t="s">
        <v>4</v>
      </c>
      <c r="B85" t="s">
        <v>45</v>
      </c>
    </row>
    <row r="86" spans="1:2" x14ac:dyDescent="0.3">
      <c r="A86" s="2" t="s">
        <v>40</v>
      </c>
      <c r="B86" s="11">
        <v>6</v>
      </c>
    </row>
    <row r="87" spans="1:2" x14ac:dyDescent="0.3">
      <c r="A87" s="2" t="s">
        <v>38</v>
      </c>
      <c r="B87" s="11">
        <v>6</v>
      </c>
    </row>
    <row r="88" spans="1:2" x14ac:dyDescent="0.3">
      <c r="A88" s="2" t="s">
        <v>44</v>
      </c>
      <c r="B88" s="11">
        <v>6</v>
      </c>
    </row>
    <row r="89" spans="1:2" x14ac:dyDescent="0.3">
      <c r="A89" s="2" t="s">
        <v>37</v>
      </c>
      <c r="B89" s="11">
        <v>12</v>
      </c>
    </row>
    <row r="90" spans="1:2" x14ac:dyDescent="0.3">
      <c r="A90" s="2" t="s">
        <v>43</v>
      </c>
      <c r="B90" s="11">
        <v>14</v>
      </c>
    </row>
    <row r="91" spans="1:2" x14ac:dyDescent="0.3">
      <c r="A91" s="2" t="s">
        <v>42</v>
      </c>
      <c r="B91" s="11">
        <v>46</v>
      </c>
    </row>
    <row r="92" spans="1:2" x14ac:dyDescent="0.3">
      <c r="A92" s="2" t="s">
        <v>39</v>
      </c>
      <c r="B92" s="11">
        <v>89</v>
      </c>
    </row>
    <row r="93" spans="1:2" x14ac:dyDescent="0.3">
      <c r="A93" s="2" t="s">
        <v>41</v>
      </c>
      <c r="B93" s="11">
        <v>252</v>
      </c>
    </row>
    <row r="94" spans="1:2" x14ac:dyDescent="0.3">
      <c r="A94" s="2" t="s">
        <v>5</v>
      </c>
      <c r="B94" s="11">
        <v>431</v>
      </c>
    </row>
    <row r="97" spans="1:1" x14ac:dyDescent="0.3">
      <c r="A97" s="1" t="s">
        <v>4</v>
      </c>
    </row>
    <row r="98" spans="1:1" x14ac:dyDescent="0.3">
      <c r="A98" s="4" t="s">
        <v>6</v>
      </c>
    </row>
    <row r="99" spans="1:1" x14ac:dyDescent="0.3">
      <c r="A99" s="2" t="s">
        <v>5</v>
      </c>
    </row>
  </sheetData>
  <mergeCells count="3">
    <mergeCell ref="D3:E3"/>
    <mergeCell ref="G3:H3"/>
    <mergeCell ref="J3:K3"/>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1EE6B-6216-4801-A288-9DBF51F2EC7E}">
  <dimension ref="A1:T30"/>
  <sheetViews>
    <sheetView zoomScale="93" zoomScaleNormal="99" workbookViewId="0"/>
  </sheetViews>
  <sheetFormatPr defaultRowHeight="14.4" x14ac:dyDescent="0.3"/>
  <cols>
    <col min="1" max="11" width="8.88671875" style="15"/>
    <col min="12" max="12" width="8.6640625" style="15" customWidth="1"/>
    <col min="13" max="16384" width="8.88671875" style="15"/>
  </cols>
  <sheetData>
    <row r="1" spans="1:20" x14ac:dyDescent="0.3">
      <c r="A1" s="16"/>
      <c r="B1" s="16"/>
      <c r="C1" s="16"/>
      <c r="D1" s="16"/>
      <c r="E1" s="16"/>
      <c r="F1" s="16"/>
      <c r="G1" s="16"/>
      <c r="H1" s="16"/>
      <c r="I1" s="16"/>
      <c r="J1" s="16"/>
      <c r="K1" s="16"/>
      <c r="L1" s="16"/>
      <c r="M1" s="16"/>
      <c r="N1" s="16"/>
      <c r="O1" s="16"/>
      <c r="P1" s="16"/>
      <c r="Q1" s="16"/>
      <c r="R1" s="16"/>
      <c r="S1" s="16"/>
      <c r="T1" s="16"/>
    </row>
    <row r="2" spans="1:20" x14ac:dyDescent="0.3">
      <c r="A2" s="16"/>
      <c r="B2" s="16"/>
      <c r="C2" s="16"/>
      <c r="D2" s="16"/>
      <c r="E2" s="16"/>
      <c r="F2" s="16"/>
      <c r="G2" s="16"/>
      <c r="H2" s="16"/>
      <c r="I2" s="16"/>
      <c r="J2" s="16"/>
      <c r="K2" s="16"/>
      <c r="L2" s="16"/>
      <c r="M2" s="16"/>
      <c r="N2" s="16"/>
      <c r="O2" s="16"/>
      <c r="P2" s="16"/>
      <c r="Q2" s="16"/>
      <c r="R2" s="16"/>
      <c r="S2" s="16"/>
      <c r="T2" s="16"/>
    </row>
    <row r="3" spans="1:20" x14ac:dyDescent="0.3">
      <c r="A3" s="16"/>
      <c r="B3" s="16"/>
      <c r="C3" s="16"/>
      <c r="D3" s="16"/>
      <c r="E3" s="16"/>
      <c r="F3" s="16"/>
      <c r="G3" s="16"/>
      <c r="H3" s="16"/>
      <c r="I3" s="16"/>
      <c r="J3" s="16"/>
      <c r="K3" s="16"/>
      <c r="L3" s="16"/>
      <c r="M3" s="16"/>
      <c r="N3" s="16"/>
      <c r="O3" s="16"/>
      <c r="P3" s="16"/>
      <c r="Q3" s="16"/>
      <c r="R3" s="16"/>
      <c r="S3" s="16"/>
      <c r="T3" s="16"/>
    </row>
    <row r="4" spans="1:20" x14ac:dyDescent="0.3">
      <c r="A4" s="16"/>
      <c r="B4" s="16"/>
      <c r="C4" s="16"/>
      <c r="D4" s="16"/>
      <c r="E4" s="16"/>
      <c r="F4" s="16"/>
      <c r="G4" s="16"/>
      <c r="H4" s="16"/>
      <c r="I4" s="16"/>
      <c r="J4" s="16"/>
      <c r="K4" s="16"/>
      <c r="L4" s="16"/>
      <c r="M4" s="16"/>
      <c r="N4" s="16"/>
      <c r="O4" s="16"/>
      <c r="P4" s="16"/>
      <c r="Q4" s="16"/>
      <c r="R4" s="16"/>
      <c r="S4" s="16"/>
      <c r="T4" s="16"/>
    </row>
    <row r="5" spans="1:20" x14ac:dyDescent="0.3">
      <c r="A5" s="16"/>
      <c r="B5" s="16"/>
      <c r="C5" s="16"/>
      <c r="D5" s="16"/>
      <c r="E5" s="16"/>
      <c r="F5" s="16"/>
      <c r="G5" s="16"/>
      <c r="H5" s="16"/>
      <c r="I5" s="16"/>
      <c r="J5" s="16"/>
      <c r="K5" s="16"/>
      <c r="L5" s="16"/>
      <c r="M5" s="16"/>
      <c r="N5" s="16"/>
      <c r="O5" s="16"/>
      <c r="P5" s="16"/>
      <c r="Q5" s="16"/>
      <c r="R5" s="16"/>
      <c r="S5" s="16"/>
      <c r="T5" s="16"/>
    </row>
    <row r="6" spans="1:20" x14ac:dyDescent="0.3">
      <c r="A6" s="16"/>
      <c r="B6" s="16"/>
      <c r="C6" s="16"/>
      <c r="D6" s="16"/>
      <c r="E6" s="16"/>
      <c r="F6" s="16"/>
      <c r="G6" s="16"/>
      <c r="H6" s="16"/>
      <c r="I6" s="16"/>
      <c r="J6" s="16"/>
      <c r="K6" s="16"/>
      <c r="L6" s="16"/>
      <c r="M6" s="16"/>
      <c r="N6" s="16"/>
      <c r="O6" s="16"/>
      <c r="P6" s="16"/>
      <c r="Q6" s="16"/>
      <c r="R6" s="16"/>
      <c r="S6" s="16"/>
      <c r="T6" s="16"/>
    </row>
    <row r="7" spans="1:20" x14ac:dyDescent="0.3">
      <c r="A7" s="16"/>
      <c r="B7" s="16"/>
      <c r="C7" s="16"/>
      <c r="D7" s="16"/>
      <c r="E7" s="16"/>
      <c r="F7" s="16"/>
      <c r="G7" s="16"/>
      <c r="H7" s="16"/>
      <c r="I7" s="16"/>
      <c r="J7" s="16"/>
      <c r="K7" s="16"/>
      <c r="L7" s="16"/>
      <c r="M7" s="16"/>
      <c r="N7" s="16"/>
      <c r="O7" s="16"/>
      <c r="P7" s="16"/>
      <c r="Q7" s="16"/>
      <c r="R7" s="16"/>
      <c r="S7" s="16"/>
      <c r="T7" s="16"/>
    </row>
    <row r="8" spans="1:20" x14ac:dyDescent="0.3">
      <c r="A8" s="16"/>
      <c r="B8" s="16"/>
      <c r="C8" s="16"/>
      <c r="D8" s="16"/>
      <c r="E8" s="16"/>
      <c r="F8" s="16"/>
      <c r="G8" s="16"/>
      <c r="H8" s="16"/>
      <c r="I8" s="16"/>
      <c r="J8" s="16"/>
      <c r="K8" s="16"/>
      <c r="L8" s="16"/>
      <c r="M8" s="16"/>
      <c r="N8" s="16"/>
      <c r="O8" s="16"/>
      <c r="P8" s="16"/>
      <c r="Q8" s="16"/>
      <c r="R8" s="16"/>
      <c r="S8" s="16"/>
      <c r="T8" s="16"/>
    </row>
    <row r="9" spans="1:20" x14ac:dyDescent="0.3">
      <c r="A9" s="16"/>
      <c r="B9" s="16"/>
      <c r="C9" s="16"/>
      <c r="D9" s="16"/>
      <c r="E9" s="16"/>
      <c r="F9" s="16"/>
      <c r="G9" s="16"/>
      <c r="H9" s="16"/>
      <c r="I9" s="16"/>
      <c r="J9" s="16"/>
      <c r="K9" s="16"/>
      <c r="L9" s="16"/>
      <c r="M9" s="16"/>
      <c r="N9" s="16"/>
      <c r="O9" s="16"/>
      <c r="P9" s="16"/>
      <c r="Q9" s="16"/>
      <c r="R9" s="16"/>
      <c r="S9" s="16"/>
      <c r="T9" s="16"/>
    </row>
    <row r="10" spans="1:20" x14ac:dyDescent="0.3">
      <c r="A10" s="16"/>
      <c r="B10" s="16"/>
      <c r="C10" s="16"/>
      <c r="D10" s="16"/>
      <c r="E10" s="16"/>
      <c r="F10" s="16"/>
      <c r="G10" s="16"/>
      <c r="H10" s="16"/>
      <c r="I10" s="16"/>
      <c r="J10" s="16"/>
      <c r="K10" s="16"/>
      <c r="L10" s="16"/>
      <c r="M10" s="16"/>
      <c r="N10" s="16"/>
      <c r="O10" s="16"/>
      <c r="P10" s="16"/>
      <c r="Q10" s="16"/>
      <c r="R10" s="16"/>
      <c r="S10" s="16"/>
      <c r="T10" s="16"/>
    </row>
    <row r="11" spans="1:20" x14ac:dyDescent="0.3">
      <c r="A11" s="16"/>
      <c r="B11" s="16"/>
      <c r="C11" s="16"/>
      <c r="D11" s="16"/>
      <c r="E11" s="16"/>
      <c r="F11" s="16"/>
      <c r="G11" s="16"/>
      <c r="H11" s="16"/>
      <c r="I11" s="16"/>
      <c r="J11" s="16"/>
      <c r="K11" s="16"/>
      <c r="L11" s="16"/>
      <c r="M11" s="16"/>
      <c r="N11" s="16"/>
      <c r="O11" s="16"/>
      <c r="P11" s="16"/>
      <c r="Q11" s="16"/>
      <c r="R11" s="16"/>
      <c r="S11" s="16"/>
      <c r="T11" s="16"/>
    </row>
    <row r="12" spans="1:20" x14ac:dyDescent="0.3">
      <c r="A12" s="16"/>
      <c r="B12" s="16"/>
      <c r="C12" s="16"/>
      <c r="D12" s="16"/>
      <c r="E12" s="16"/>
      <c r="F12" s="16"/>
      <c r="G12" s="16"/>
      <c r="H12" s="16"/>
      <c r="I12" s="16"/>
      <c r="J12" s="16"/>
      <c r="K12" s="16"/>
      <c r="L12" s="16"/>
      <c r="M12" s="16"/>
      <c r="N12" s="16"/>
      <c r="O12" s="16"/>
      <c r="P12" s="16"/>
      <c r="Q12" s="16"/>
      <c r="R12" s="16"/>
      <c r="S12" s="16"/>
      <c r="T12" s="16"/>
    </row>
    <row r="13" spans="1:20" x14ac:dyDescent="0.3">
      <c r="A13" s="16"/>
      <c r="B13" s="16"/>
      <c r="C13" s="16"/>
      <c r="D13" s="16"/>
      <c r="E13" s="16"/>
      <c r="F13" s="16"/>
      <c r="G13" s="16"/>
      <c r="H13" s="16"/>
      <c r="I13" s="16"/>
      <c r="J13" s="16"/>
      <c r="K13" s="16"/>
      <c r="L13" s="16"/>
      <c r="M13" s="16"/>
      <c r="N13" s="16"/>
      <c r="O13" s="16"/>
      <c r="P13" s="16"/>
      <c r="Q13" s="16"/>
      <c r="R13" s="16"/>
      <c r="S13" s="16"/>
      <c r="T13" s="16"/>
    </row>
    <row r="14" spans="1:20" x14ac:dyDescent="0.3">
      <c r="A14" s="16"/>
      <c r="B14" s="16"/>
      <c r="C14" s="16"/>
      <c r="D14" s="16"/>
      <c r="E14" s="16"/>
      <c r="F14" s="16"/>
      <c r="G14" s="16"/>
      <c r="H14" s="16"/>
      <c r="I14" s="16"/>
      <c r="J14" s="16"/>
      <c r="K14" s="16"/>
      <c r="L14" s="16"/>
      <c r="M14" s="16"/>
      <c r="N14" s="16"/>
      <c r="O14" s="16"/>
      <c r="P14" s="16"/>
      <c r="Q14" s="16"/>
      <c r="R14" s="16"/>
      <c r="S14" s="16"/>
      <c r="T14" s="16"/>
    </row>
    <row r="15" spans="1:20" x14ac:dyDescent="0.3">
      <c r="A15" s="16"/>
      <c r="B15" s="16"/>
      <c r="C15" s="16"/>
      <c r="D15" s="16"/>
      <c r="E15" s="16"/>
      <c r="F15" s="16"/>
      <c r="G15" s="16"/>
      <c r="H15" s="16"/>
      <c r="I15" s="16"/>
      <c r="J15" s="16"/>
      <c r="K15" s="16"/>
      <c r="L15" s="16"/>
      <c r="M15" s="16"/>
      <c r="N15" s="16"/>
      <c r="O15" s="16"/>
      <c r="P15" s="16"/>
      <c r="Q15" s="16"/>
      <c r="R15" s="16"/>
      <c r="S15" s="16"/>
      <c r="T15" s="16"/>
    </row>
    <row r="16" spans="1:20" x14ac:dyDescent="0.3">
      <c r="A16" s="16"/>
      <c r="B16" s="16"/>
      <c r="C16" s="16"/>
      <c r="D16" s="16"/>
      <c r="E16" s="16"/>
      <c r="F16" s="16"/>
      <c r="G16" s="16"/>
      <c r="H16" s="16"/>
      <c r="I16" s="16"/>
      <c r="J16" s="16"/>
      <c r="K16" s="16"/>
      <c r="L16" s="16"/>
      <c r="M16" s="16"/>
      <c r="N16" s="16"/>
      <c r="O16" s="16"/>
      <c r="P16" s="16"/>
      <c r="Q16" s="16"/>
      <c r="R16" s="16"/>
      <c r="S16" s="16"/>
      <c r="T16" s="16"/>
    </row>
    <row r="17" spans="1:20" x14ac:dyDescent="0.3">
      <c r="A17" s="16"/>
      <c r="B17" s="16"/>
      <c r="C17" s="16"/>
      <c r="D17" s="16"/>
      <c r="E17" s="16"/>
      <c r="F17" s="16"/>
      <c r="G17" s="16"/>
      <c r="H17" s="16"/>
      <c r="I17" s="16"/>
      <c r="J17" s="16"/>
      <c r="K17" s="16"/>
      <c r="L17" s="16"/>
      <c r="M17" s="16"/>
      <c r="N17" s="16"/>
      <c r="O17" s="16"/>
      <c r="P17" s="16"/>
      <c r="Q17" s="16"/>
      <c r="R17" s="16"/>
      <c r="S17" s="16"/>
      <c r="T17" s="16"/>
    </row>
    <row r="18" spans="1:20" x14ac:dyDescent="0.3">
      <c r="A18" s="16"/>
      <c r="B18" s="16"/>
      <c r="C18" s="16"/>
      <c r="D18" s="16"/>
      <c r="E18" s="16"/>
      <c r="F18" s="16"/>
      <c r="G18" s="16"/>
      <c r="H18" s="16"/>
      <c r="I18" s="16"/>
      <c r="J18" s="16"/>
      <c r="K18" s="16"/>
      <c r="L18" s="16"/>
      <c r="M18" s="16"/>
      <c r="N18" s="16"/>
      <c r="O18" s="16"/>
      <c r="P18" s="16"/>
      <c r="Q18" s="16"/>
      <c r="R18" s="16"/>
      <c r="S18" s="16"/>
      <c r="T18" s="16"/>
    </row>
    <row r="19" spans="1:20" x14ac:dyDescent="0.3">
      <c r="A19" s="16"/>
      <c r="B19" s="16"/>
      <c r="C19" s="16"/>
      <c r="D19" s="16"/>
      <c r="E19" s="16"/>
      <c r="F19" s="16"/>
      <c r="G19" s="16"/>
      <c r="H19" s="16"/>
      <c r="I19" s="16"/>
      <c r="J19" s="16"/>
      <c r="K19" s="16"/>
      <c r="L19" s="16"/>
      <c r="M19" s="16"/>
      <c r="N19" s="16"/>
      <c r="O19" s="16"/>
      <c r="P19" s="16"/>
      <c r="Q19" s="16"/>
      <c r="R19" s="16"/>
      <c r="S19" s="16"/>
      <c r="T19" s="16"/>
    </row>
    <row r="20" spans="1:20" x14ac:dyDescent="0.3">
      <c r="A20" s="16"/>
      <c r="B20" s="16"/>
      <c r="C20" s="16"/>
      <c r="D20" s="16"/>
      <c r="E20" s="16"/>
      <c r="F20" s="16"/>
      <c r="G20" s="16"/>
      <c r="H20" s="16"/>
      <c r="I20" s="16"/>
      <c r="J20" s="16"/>
      <c r="K20" s="16"/>
      <c r="L20" s="16"/>
      <c r="M20" s="16"/>
      <c r="N20" s="16"/>
      <c r="O20" s="16"/>
      <c r="P20" s="16"/>
      <c r="Q20" s="16"/>
      <c r="R20" s="16"/>
      <c r="S20" s="16"/>
      <c r="T20" s="16"/>
    </row>
    <row r="21" spans="1:20" x14ac:dyDescent="0.3">
      <c r="A21" s="16"/>
      <c r="B21" s="16"/>
      <c r="C21" s="16"/>
      <c r="D21" s="16"/>
      <c r="E21" s="16"/>
      <c r="F21" s="16"/>
      <c r="G21" s="16"/>
      <c r="H21" s="16"/>
      <c r="I21" s="16"/>
      <c r="J21" s="16"/>
      <c r="K21" s="16"/>
      <c r="L21" s="16"/>
      <c r="M21" s="16"/>
      <c r="N21" s="16"/>
      <c r="O21" s="16"/>
      <c r="P21" s="16"/>
      <c r="Q21" s="16"/>
      <c r="R21" s="16"/>
      <c r="S21" s="16"/>
      <c r="T21" s="16"/>
    </row>
    <row r="22" spans="1:20" x14ac:dyDescent="0.3">
      <c r="A22" s="16"/>
      <c r="B22" s="16"/>
      <c r="C22" s="16"/>
      <c r="D22" s="16"/>
      <c r="E22" s="16"/>
      <c r="F22" s="16"/>
      <c r="G22" s="16"/>
      <c r="H22" s="16"/>
      <c r="I22" s="16"/>
      <c r="J22" s="16"/>
      <c r="K22" s="16"/>
      <c r="L22" s="16"/>
      <c r="M22" s="16"/>
      <c r="N22" s="16"/>
      <c r="O22" s="16"/>
      <c r="P22" s="16"/>
      <c r="Q22" s="16"/>
      <c r="R22" s="16"/>
      <c r="S22" s="16"/>
      <c r="T22" s="16"/>
    </row>
    <row r="23" spans="1:20" x14ac:dyDescent="0.3">
      <c r="A23" s="16"/>
      <c r="B23" s="16"/>
      <c r="C23" s="16"/>
      <c r="D23" s="16"/>
      <c r="E23" s="16"/>
      <c r="F23" s="16"/>
      <c r="G23" s="16"/>
      <c r="H23" s="16"/>
      <c r="I23" s="16"/>
      <c r="J23" s="16"/>
      <c r="K23" s="16"/>
      <c r="L23" s="16"/>
      <c r="M23" s="16"/>
      <c r="N23" s="16"/>
      <c r="O23" s="16"/>
      <c r="P23" s="16"/>
      <c r="Q23" s="16"/>
      <c r="R23" s="16"/>
      <c r="S23" s="16"/>
      <c r="T23" s="16"/>
    </row>
    <row r="24" spans="1:20" x14ac:dyDescent="0.3">
      <c r="A24" s="16"/>
      <c r="B24" s="16"/>
      <c r="C24" s="16"/>
      <c r="D24" s="16"/>
      <c r="E24" s="16"/>
      <c r="F24" s="16"/>
      <c r="G24" s="16"/>
      <c r="H24" s="16"/>
      <c r="I24" s="16"/>
      <c r="J24" s="16"/>
      <c r="K24" s="16"/>
      <c r="L24" s="16"/>
      <c r="M24" s="16"/>
      <c r="N24" s="16"/>
      <c r="O24" s="16"/>
      <c r="P24" s="16"/>
      <c r="Q24" s="16"/>
      <c r="R24" s="16"/>
      <c r="S24" s="16"/>
      <c r="T24" s="16"/>
    </row>
    <row r="25" spans="1:20" x14ac:dyDescent="0.3">
      <c r="A25" s="16"/>
      <c r="B25" s="16"/>
      <c r="C25" s="16"/>
      <c r="D25" s="16"/>
      <c r="E25" s="16"/>
      <c r="F25" s="16"/>
      <c r="G25" s="16"/>
      <c r="H25" s="16"/>
      <c r="I25" s="16"/>
      <c r="J25" s="16"/>
      <c r="K25" s="16"/>
      <c r="L25" s="16"/>
      <c r="M25" s="16"/>
      <c r="N25" s="16"/>
      <c r="O25" s="16"/>
      <c r="P25" s="16"/>
      <c r="Q25" s="16"/>
      <c r="R25" s="16"/>
      <c r="S25" s="16"/>
      <c r="T25" s="16"/>
    </row>
    <row r="26" spans="1:20" x14ac:dyDescent="0.3">
      <c r="A26" s="16"/>
      <c r="B26" s="16"/>
      <c r="C26" s="16"/>
      <c r="D26" s="16"/>
      <c r="E26" s="16"/>
      <c r="F26" s="16"/>
      <c r="G26" s="16"/>
      <c r="H26" s="16"/>
      <c r="I26" s="16"/>
      <c r="J26" s="16"/>
      <c r="K26" s="16"/>
      <c r="L26" s="16"/>
      <c r="M26" s="16"/>
      <c r="N26" s="16"/>
      <c r="O26" s="16"/>
      <c r="P26" s="16"/>
      <c r="Q26" s="16"/>
      <c r="R26" s="16"/>
      <c r="S26" s="16"/>
      <c r="T26" s="16"/>
    </row>
    <row r="27" spans="1:20" x14ac:dyDescent="0.3">
      <c r="A27" s="16"/>
      <c r="B27" s="16"/>
      <c r="C27" s="16"/>
      <c r="D27" s="16"/>
      <c r="E27" s="16"/>
      <c r="F27" s="16"/>
      <c r="G27" s="16"/>
      <c r="H27" s="16"/>
      <c r="I27" s="16"/>
      <c r="J27" s="16"/>
      <c r="K27" s="16"/>
      <c r="L27" s="16"/>
      <c r="M27" s="16"/>
      <c r="N27" s="16"/>
      <c r="O27" s="16"/>
      <c r="P27" s="16"/>
      <c r="Q27" s="16"/>
      <c r="R27" s="16"/>
      <c r="S27" s="16"/>
      <c r="T27" s="16"/>
    </row>
    <row r="28" spans="1:20" x14ac:dyDescent="0.3">
      <c r="A28" s="16"/>
      <c r="B28" s="16"/>
      <c r="C28" s="16"/>
      <c r="D28" s="16"/>
      <c r="E28" s="16"/>
      <c r="F28" s="16"/>
      <c r="G28" s="16"/>
      <c r="H28" s="16"/>
      <c r="I28" s="16"/>
      <c r="J28" s="16"/>
      <c r="K28" s="16"/>
      <c r="L28" s="16"/>
      <c r="M28" s="16"/>
      <c r="N28" s="16"/>
      <c r="O28" s="16"/>
      <c r="P28" s="16"/>
      <c r="Q28" s="16"/>
      <c r="R28" s="16"/>
      <c r="S28" s="16"/>
      <c r="T28" s="16"/>
    </row>
    <row r="29" spans="1:20" x14ac:dyDescent="0.3">
      <c r="A29" s="16"/>
      <c r="B29" s="16"/>
      <c r="C29" s="16"/>
      <c r="D29" s="16"/>
      <c r="E29" s="16"/>
      <c r="F29" s="16"/>
      <c r="G29" s="16"/>
      <c r="H29" s="16"/>
      <c r="I29" s="16"/>
      <c r="J29" s="16"/>
      <c r="K29" s="16"/>
      <c r="L29" s="16"/>
      <c r="M29" s="16"/>
      <c r="N29" s="16"/>
      <c r="O29" s="16"/>
      <c r="P29" s="16"/>
      <c r="Q29" s="16"/>
      <c r="R29" s="16"/>
      <c r="S29" s="16"/>
      <c r="T29" s="16"/>
    </row>
    <row r="30" spans="1:20" x14ac:dyDescent="0.3">
      <c r="A30" s="16"/>
      <c r="B30" s="16"/>
      <c r="C30" s="16"/>
      <c r="D30" s="16"/>
      <c r="E30" s="16"/>
      <c r="F30" s="16"/>
      <c r="G30" s="16"/>
      <c r="H30" s="16"/>
      <c r="I30" s="16"/>
      <c r="J30" s="16"/>
      <c r="K30" s="16"/>
      <c r="L30" s="16"/>
      <c r="M30" s="16"/>
      <c r="N30" s="16"/>
      <c r="O30" s="16"/>
      <c r="P30" s="16"/>
      <c r="Q30" s="16"/>
      <c r="R30" s="16"/>
      <c r="S30" s="16"/>
      <c r="T30" s="1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4DE63-2A78-4E84-BAD9-B7D2A09EA3FE}">
  <dimension ref="A1:M24"/>
  <sheetViews>
    <sheetView workbookViewId="0"/>
  </sheetViews>
  <sheetFormatPr defaultRowHeight="14.4" x14ac:dyDescent="0.3"/>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row r="17" spans="1:13" x14ac:dyDescent="0.3">
      <c r="A17" s="3"/>
      <c r="B17" s="3"/>
      <c r="C17" s="3"/>
      <c r="D17" s="3"/>
      <c r="E17" s="3"/>
      <c r="F17" s="3"/>
      <c r="G17" s="3"/>
      <c r="H17" s="3"/>
      <c r="I17" s="3"/>
      <c r="J17" s="3"/>
      <c r="K17" s="3"/>
      <c r="L17" s="3"/>
      <c r="M17" s="3"/>
    </row>
    <row r="18" spans="1:13" x14ac:dyDescent="0.3">
      <c r="A18" s="3"/>
      <c r="B18" s="3"/>
      <c r="C18" s="3"/>
      <c r="D18" s="3"/>
      <c r="E18" s="3"/>
      <c r="F18" s="3"/>
      <c r="G18" s="3"/>
      <c r="H18" s="3"/>
      <c r="I18" s="3"/>
      <c r="J18" s="3"/>
      <c r="K18" s="3"/>
      <c r="L18" s="3"/>
      <c r="M18" s="3"/>
    </row>
    <row r="19" spans="1:13" x14ac:dyDescent="0.3">
      <c r="A19" s="3"/>
      <c r="B19" s="3"/>
      <c r="C19" s="3"/>
      <c r="D19" s="3"/>
      <c r="E19" s="3"/>
      <c r="F19" s="3"/>
      <c r="G19" s="3"/>
      <c r="H19" s="3"/>
      <c r="I19" s="3"/>
      <c r="J19" s="3"/>
      <c r="K19" s="3"/>
      <c r="L19" s="3"/>
      <c r="M19" s="3"/>
    </row>
    <row r="20" spans="1:13" x14ac:dyDescent="0.3">
      <c r="A20" s="3"/>
      <c r="B20" s="3"/>
      <c r="C20" s="3"/>
      <c r="D20" s="3"/>
      <c r="E20" s="3"/>
      <c r="F20" s="3"/>
      <c r="G20" s="3"/>
      <c r="H20" s="3"/>
      <c r="I20" s="3"/>
      <c r="J20" s="3"/>
      <c r="K20" s="3"/>
      <c r="L20" s="3"/>
      <c r="M20" s="3"/>
    </row>
    <row r="21" spans="1:13" x14ac:dyDescent="0.3">
      <c r="A21" s="3"/>
      <c r="B21" s="3"/>
      <c r="C21" s="3"/>
      <c r="D21" s="3"/>
      <c r="E21" s="3"/>
      <c r="F21" s="3"/>
      <c r="G21" s="3"/>
      <c r="H21" s="3"/>
      <c r="I21" s="3"/>
      <c r="J21" s="3"/>
      <c r="K21" s="3"/>
      <c r="L21" s="3"/>
      <c r="M21" s="3"/>
    </row>
    <row r="22" spans="1:13" x14ac:dyDescent="0.3">
      <c r="A22" s="3"/>
      <c r="B22" s="3"/>
      <c r="C22" s="3"/>
      <c r="D22" s="3"/>
      <c r="E22" s="3"/>
      <c r="F22" s="3"/>
      <c r="G22" s="3"/>
      <c r="H22" s="3"/>
      <c r="I22" s="3"/>
      <c r="J22" s="3"/>
      <c r="K22" s="3"/>
      <c r="L22" s="3"/>
      <c r="M22" s="3"/>
    </row>
    <row r="23" spans="1:13" x14ac:dyDescent="0.3">
      <c r="A23" s="3"/>
      <c r="B23" s="3"/>
      <c r="C23" s="3"/>
      <c r="D23" s="3"/>
      <c r="E23" s="3"/>
      <c r="F23" s="3"/>
      <c r="G23" s="3"/>
      <c r="H23" s="3"/>
      <c r="I23" s="3"/>
      <c r="J23" s="3"/>
      <c r="K23" s="3"/>
      <c r="L23" s="3"/>
      <c r="M23" s="3"/>
    </row>
    <row r="24" spans="1:13" x14ac:dyDescent="0.3">
      <c r="A24" s="19" t="s">
        <v>7</v>
      </c>
      <c r="B24" s="20"/>
      <c r="C24" s="20"/>
      <c r="D24" s="20"/>
      <c r="E24" s="20"/>
      <c r="F24" s="20"/>
      <c r="G24" s="20"/>
      <c r="H24" s="20"/>
      <c r="I24" s="20"/>
      <c r="J24" s="20"/>
      <c r="K24" s="20"/>
      <c r="L24" s="20"/>
      <c r="M24" s="20"/>
    </row>
  </sheetData>
  <mergeCells count="1">
    <mergeCell ref="A24:M2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7EDCB-6D3C-4F88-94CB-14F71FDF3C43}">
  <dimension ref="A1:R25"/>
  <sheetViews>
    <sheetView zoomScale="65" workbookViewId="0">
      <selection activeCell="N36" sqref="N36"/>
    </sheetView>
  </sheetViews>
  <sheetFormatPr defaultRowHeight="14.4" x14ac:dyDescent="0.3"/>
  <sheetData>
    <row r="1" spans="1:18" x14ac:dyDescent="0.3">
      <c r="A1" s="3"/>
      <c r="B1" s="3"/>
      <c r="C1" s="3"/>
      <c r="D1" s="3"/>
      <c r="E1" s="3"/>
      <c r="F1" s="3"/>
      <c r="G1" s="3"/>
      <c r="H1" s="3"/>
      <c r="I1" s="3"/>
      <c r="J1" s="3"/>
      <c r="K1" s="3"/>
      <c r="L1" s="3"/>
      <c r="M1" s="3"/>
      <c r="N1" s="3"/>
      <c r="O1" s="3"/>
      <c r="P1" s="3"/>
      <c r="Q1" s="3"/>
      <c r="R1" s="3"/>
    </row>
    <row r="2" spans="1:18" x14ac:dyDescent="0.3">
      <c r="A2" s="3"/>
      <c r="B2" s="3"/>
      <c r="C2" s="3"/>
      <c r="D2" s="3"/>
      <c r="E2" s="3"/>
      <c r="F2" s="3"/>
      <c r="G2" s="3"/>
      <c r="H2" s="3"/>
      <c r="I2" s="3"/>
      <c r="J2" s="3"/>
      <c r="K2" s="3"/>
      <c r="L2" s="3"/>
      <c r="M2" s="3"/>
      <c r="N2" s="3"/>
      <c r="O2" s="3"/>
      <c r="P2" s="3"/>
      <c r="Q2" s="3"/>
      <c r="R2" s="3"/>
    </row>
    <row r="3" spans="1:18" x14ac:dyDescent="0.3">
      <c r="A3" s="3"/>
      <c r="B3" s="3"/>
      <c r="C3" s="3"/>
      <c r="D3" s="3"/>
      <c r="E3" s="3"/>
      <c r="F3" s="3"/>
      <c r="G3" s="3"/>
      <c r="H3" s="3"/>
      <c r="I3" s="3"/>
      <c r="J3" s="3"/>
      <c r="K3" s="3"/>
      <c r="L3" s="3"/>
      <c r="M3" s="3"/>
      <c r="N3" s="3"/>
      <c r="O3" s="3"/>
      <c r="P3" s="3"/>
      <c r="Q3" s="3"/>
      <c r="R3" s="3"/>
    </row>
    <row r="4" spans="1:18" x14ac:dyDescent="0.3">
      <c r="A4" s="3"/>
      <c r="B4" s="3"/>
      <c r="C4" s="3"/>
      <c r="D4" s="3"/>
      <c r="E4" s="3"/>
      <c r="F4" s="3"/>
      <c r="G4" s="3"/>
      <c r="H4" s="3"/>
      <c r="I4" s="3"/>
      <c r="J4" s="3"/>
      <c r="K4" s="3"/>
      <c r="L4" s="3"/>
      <c r="M4" s="3"/>
      <c r="N4" s="3"/>
      <c r="O4" s="3"/>
      <c r="P4" s="3"/>
      <c r="Q4" s="3"/>
      <c r="R4" s="3"/>
    </row>
    <row r="5" spans="1:18" x14ac:dyDescent="0.3">
      <c r="A5" s="3"/>
      <c r="B5" s="3"/>
      <c r="C5" s="3"/>
      <c r="D5" s="3"/>
      <c r="E5" s="3"/>
      <c r="F5" s="3"/>
      <c r="G5" s="3"/>
      <c r="H5" s="3"/>
      <c r="I5" s="3"/>
      <c r="J5" s="3"/>
      <c r="K5" s="3"/>
      <c r="L5" s="3"/>
      <c r="M5" s="3"/>
      <c r="N5" s="3"/>
      <c r="O5" s="3"/>
      <c r="P5" s="3"/>
      <c r="Q5" s="3"/>
      <c r="R5" s="3"/>
    </row>
    <row r="6" spans="1:18" x14ac:dyDescent="0.3">
      <c r="A6" s="3"/>
      <c r="B6" s="3"/>
      <c r="C6" s="3"/>
      <c r="D6" s="3"/>
      <c r="E6" s="3"/>
      <c r="F6" s="3"/>
      <c r="G6" s="3"/>
      <c r="H6" s="3"/>
      <c r="I6" s="3"/>
      <c r="J6" s="3"/>
      <c r="K6" s="3"/>
      <c r="L6" s="3"/>
      <c r="M6" s="3"/>
      <c r="N6" s="3"/>
      <c r="O6" s="3"/>
      <c r="P6" s="3"/>
      <c r="Q6" s="3"/>
      <c r="R6" s="3"/>
    </row>
    <row r="7" spans="1:18" x14ac:dyDescent="0.3">
      <c r="A7" s="3"/>
      <c r="B7" s="3"/>
      <c r="C7" s="3"/>
      <c r="D7" s="3"/>
      <c r="E7" s="3"/>
      <c r="F7" s="3"/>
      <c r="G7" s="3"/>
      <c r="H7" s="3"/>
      <c r="I7" s="3"/>
      <c r="J7" s="3"/>
      <c r="K7" s="3"/>
      <c r="L7" s="3"/>
      <c r="M7" s="3"/>
      <c r="N7" s="3"/>
      <c r="O7" s="3"/>
      <c r="P7" s="3"/>
      <c r="Q7" s="3"/>
      <c r="R7" s="3"/>
    </row>
    <row r="8" spans="1:18" x14ac:dyDescent="0.3">
      <c r="A8" s="3"/>
      <c r="B8" s="3"/>
      <c r="C8" s="3"/>
      <c r="D8" s="3"/>
      <c r="E8" s="3"/>
      <c r="F8" s="3"/>
      <c r="G8" s="3"/>
      <c r="H8" s="3"/>
      <c r="I8" s="3"/>
      <c r="J8" s="3"/>
      <c r="K8" s="3"/>
      <c r="L8" s="3"/>
      <c r="M8" s="3"/>
      <c r="N8" s="3"/>
      <c r="O8" s="3"/>
      <c r="P8" s="3"/>
      <c r="Q8" s="3"/>
      <c r="R8" s="3"/>
    </row>
    <row r="9" spans="1:18" x14ac:dyDescent="0.3">
      <c r="A9" s="3"/>
      <c r="B9" s="3"/>
      <c r="C9" s="3"/>
      <c r="D9" s="3"/>
      <c r="E9" s="3"/>
      <c r="F9" s="3"/>
      <c r="G9" s="3"/>
      <c r="H9" s="3"/>
      <c r="I9" s="3"/>
      <c r="J9" s="3"/>
      <c r="K9" s="3"/>
      <c r="L9" s="3"/>
      <c r="M9" s="3"/>
      <c r="N9" s="3"/>
      <c r="O9" s="3"/>
      <c r="P9" s="3"/>
      <c r="Q9" s="3"/>
      <c r="R9" s="3"/>
    </row>
    <row r="10" spans="1:18" x14ac:dyDescent="0.3">
      <c r="A10" s="3"/>
      <c r="B10" s="3"/>
      <c r="C10" s="3"/>
      <c r="D10" s="3"/>
      <c r="E10" s="3"/>
      <c r="F10" s="3"/>
      <c r="G10" s="3"/>
      <c r="H10" s="3"/>
      <c r="I10" s="3"/>
      <c r="J10" s="3"/>
      <c r="K10" s="3"/>
      <c r="L10" s="3"/>
      <c r="M10" s="3"/>
      <c r="N10" s="3"/>
      <c r="O10" s="3"/>
      <c r="P10" s="3"/>
      <c r="Q10" s="3"/>
      <c r="R10" s="3"/>
    </row>
    <row r="11" spans="1:18" x14ac:dyDescent="0.3">
      <c r="A11" s="3"/>
      <c r="B11" s="3"/>
      <c r="C11" s="3"/>
      <c r="D11" s="3"/>
      <c r="E11" s="3"/>
      <c r="F11" s="3"/>
      <c r="G11" s="3"/>
      <c r="H11" s="3"/>
      <c r="I11" s="3"/>
      <c r="J11" s="3"/>
      <c r="K11" s="3"/>
      <c r="L11" s="3"/>
      <c r="M11" s="3"/>
      <c r="N11" s="3"/>
      <c r="O11" s="3"/>
      <c r="P11" s="3"/>
      <c r="Q11" s="3"/>
      <c r="R11" s="3"/>
    </row>
    <row r="12" spans="1:18" x14ac:dyDescent="0.3">
      <c r="A12" s="3"/>
      <c r="B12" s="3"/>
      <c r="C12" s="3"/>
      <c r="D12" s="3"/>
      <c r="E12" s="3"/>
      <c r="F12" s="3"/>
      <c r="G12" s="3"/>
      <c r="H12" s="3"/>
      <c r="I12" s="3"/>
      <c r="J12" s="3"/>
      <c r="K12" s="3"/>
      <c r="L12" s="3"/>
      <c r="M12" s="3"/>
      <c r="N12" s="3"/>
      <c r="O12" s="3"/>
      <c r="P12" s="3"/>
      <c r="Q12" s="3"/>
      <c r="R12" s="3"/>
    </row>
    <row r="13" spans="1:18" x14ac:dyDescent="0.3">
      <c r="A13" s="3"/>
      <c r="B13" s="3"/>
      <c r="C13" s="3"/>
      <c r="D13" s="3"/>
      <c r="E13" s="3"/>
      <c r="F13" s="3"/>
      <c r="G13" s="3"/>
      <c r="H13" s="3"/>
      <c r="I13" s="3"/>
      <c r="J13" s="3"/>
      <c r="K13" s="3"/>
      <c r="L13" s="3"/>
      <c r="M13" s="3"/>
      <c r="N13" s="3"/>
      <c r="O13" s="3"/>
      <c r="P13" s="3"/>
      <c r="Q13" s="3"/>
      <c r="R13" s="3"/>
    </row>
    <row r="14" spans="1:18" x14ac:dyDescent="0.3">
      <c r="A14" s="3"/>
      <c r="B14" s="3"/>
      <c r="C14" s="3"/>
      <c r="D14" s="3"/>
      <c r="E14" s="3"/>
      <c r="F14" s="3"/>
      <c r="G14" s="3"/>
      <c r="H14" s="3"/>
      <c r="I14" s="3"/>
      <c r="J14" s="3"/>
      <c r="K14" s="3"/>
      <c r="L14" s="3"/>
      <c r="M14" s="3"/>
      <c r="N14" s="3"/>
      <c r="O14" s="3"/>
      <c r="P14" s="3"/>
      <c r="Q14" s="3"/>
      <c r="R14" s="3"/>
    </row>
    <row r="15" spans="1:18" x14ac:dyDescent="0.3">
      <c r="A15" s="3"/>
      <c r="B15" s="3"/>
      <c r="C15" s="3"/>
      <c r="D15" s="3"/>
      <c r="E15" s="3"/>
      <c r="F15" s="3"/>
      <c r="G15" s="3"/>
      <c r="H15" s="3"/>
      <c r="I15" s="3"/>
      <c r="J15" s="3"/>
      <c r="K15" s="3"/>
      <c r="L15" s="3"/>
      <c r="M15" s="3"/>
      <c r="N15" s="3"/>
      <c r="O15" s="3"/>
      <c r="P15" s="3"/>
      <c r="Q15" s="3"/>
      <c r="R15" s="3"/>
    </row>
    <row r="16" spans="1:18" x14ac:dyDescent="0.3">
      <c r="A16" s="3"/>
      <c r="B16" s="3"/>
      <c r="C16" s="3"/>
      <c r="D16" s="3"/>
      <c r="E16" s="3"/>
      <c r="F16" s="3"/>
      <c r="G16" s="3"/>
      <c r="H16" s="3"/>
      <c r="I16" s="3"/>
      <c r="J16" s="3"/>
      <c r="K16" s="3"/>
      <c r="L16" s="3"/>
      <c r="M16" s="3"/>
      <c r="N16" s="3"/>
      <c r="O16" s="3"/>
      <c r="P16" s="3"/>
      <c r="Q16" s="3"/>
      <c r="R16" s="3"/>
    </row>
    <row r="17" spans="1:18" x14ac:dyDescent="0.3">
      <c r="A17" s="3"/>
      <c r="B17" s="3"/>
      <c r="C17" s="3"/>
      <c r="D17" s="3"/>
      <c r="E17" s="3"/>
      <c r="F17" s="3"/>
      <c r="G17" s="3"/>
      <c r="H17" s="3"/>
      <c r="I17" s="3"/>
      <c r="J17" s="3"/>
      <c r="K17" s="3"/>
      <c r="L17" s="3"/>
      <c r="M17" s="3"/>
      <c r="N17" s="3"/>
      <c r="O17" s="3"/>
      <c r="P17" s="3"/>
      <c r="Q17" s="3"/>
      <c r="R17" s="3"/>
    </row>
    <row r="18" spans="1:18" x14ac:dyDescent="0.3">
      <c r="A18" s="3"/>
      <c r="B18" s="3"/>
      <c r="C18" s="3"/>
      <c r="D18" s="3"/>
      <c r="E18" s="3"/>
      <c r="F18" s="3"/>
      <c r="G18" s="3"/>
      <c r="H18" s="3"/>
      <c r="I18" s="3"/>
      <c r="J18" s="3"/>
      <c r="K18" s="3"/>
      <c r="L18" s="3"/>
      <c r="M18" s="3"/>
      <c r="N18" s="3"/>
      <c r="O18" s="3"/>
      <c r="P18" s="3"/>
      <c r="Q18" s="3"/>
      <c r="R18" s="3"/>
    </row>
    <row r="19" spans="1:18" x14ac:dyDescent="0.3">
      <c r="A19" s="3"/>
      <c r="B19" s="3"/>
      <c r="C19" s="3"/>
      <c r="D19" s="3"/>
      <c r="E19" s="3"/>
      <c r="F19" s="3"/>
      <c r="G19" s="3"/>
      <c r="H19" s="3"/>
      <c r="I19" s="3"/>
      <c r="J19" s="3"/>
      <c r="K19" s="3"/>
      <c r="L19" s="3"/>
      <c r="M19" s="3"/>
      <c r="N19" s="3"/>
      <c r="O19" s="3"/>
      <c r="P19" s="3"/>
      <c r="Q19" s="3"/>
      <c r="R19" s="3"/>
    </row>
    <row r="20" spans="1:18" x14ac:dyDescent="0.3">
      <c r="A20" s="3"/>
      <c r="B20" s="3"/>
      <c r="C20" s="3"/>
      <c r="D20" s="3"/>
      <c r="E20" s="3"/>
      <c r="F20" s="3"/>
      <c r="G20" s="3"/>
      <c r="H20" s="3"/>
      <c r="I20" s="3"/>
      <c r="J20" s="3"/>
      <c r="K20" s="3"/>
      <c r="L20" s="3"/>
      <c r="M20" s="3"/>
      <c r="N20" s="3"/>
      <c r="O20" s="3"/>
      <c r="P20" s="3"/>
      <c r="Q20" s="3"/>
      <c r="R20" s="3"/>
    </row>
    <row r="21" spans="1:18" x14ac:dyDescent="0.3">
      <c r="A21" s="3"/>
      <c r="B21" s="3"/>
      <c r="C21" s="3"/>
      <c r="D21" s="3"/>
      <c r="E21" s="3"/>
      <c r="F21" s="3"/>
      <c r="G21" s="3"/>
      <c r="H21" s="3"/>
      <c r="I21" s="3"/>
      <c r="J21" s="3"/>
      <c r="K21" s="3"/>
      <c r="L21" s="3"/>
      <c r="M21" s="3"/>
      <c r="N21" s="3"/>
      <c r="O21" s="3"/>
      <c r="P21" s="3"/>
      <c r="Q21" s="3"/>
      <c r="R21" s="3"/>
    </row>
    <row r="22" spans="1:18" x14ac:dyDescent="0.3">
      <c r="A22" s="3"/>
      <c r="B22" s="3"/>
      <c r="C22" s="3"/>
      <c r="D22" s="3"/>
      <c r="E22" s="3"/>
      <c r="F22" s="3"/>
      <c r="G22" s="3"/>
      <c r="H22" s="3"/>
      <c r="I22" s="3"/>
      <c r="J22" s="3"/>
      <c r="K22" s="3"/>
      <c r="L22" s="3"/>
      <c r="M22" s="3"/>
      <c r="N22" s="3"/>
      <c r="O22" s="3"/>
      <c r="P22" s="3"/>
      <c r="Q22" s="3"/>
      <c r="R22" s="3"/>
    </row>
    <row r="23" spans="1:18" x14ac:dyDescent="0.3">
      <c r="A23" s="3"/>
      <c r="B23" s="3"/>
      <c r="C23" s="3"/>
      <c r="D23" s="3"/>
      <c r="E23" s="3"/>
      <c r="F23" s="3"/>
      <c r="G23" s="3"/>
      <c r="H23" s="3"/>
      <c r="I23" s="3"/>
      <c r="J23" s="3"/>
      <c r="K23" s="3"/>
      <c r="L23" s="3"/>
      <c r="M23" s="3"/>
      <c r="N23" s="3"/>
      <c r="O23" s="3"/>
      <c r="P23" s="3"/>
      <c r="Q23" s="3"/>
      <c r="R23" s="3"/>
    </row>
    <row r="24" spans="1:18" x14ac:dyDescent="0.3">
      <c r="A24" s="17" t="s">
        <v>9</v>
      </c>
      <c r="B24" s="17"/>
      <c r="C24" s="17"/>
      <c r="D24" s="17"/>
      <c r="E24" s="17"/>
      <c r="F24" s="17"/>
      <c r="G24" s="17"/>
      <c r="H24" s="17"/>
      <c r="I24" s="17"/>
      <c r="J24" s="17"/>
      <c r="K24" s="17"/>
      <c r="L24" s="17"/>
      <c r="M24" s="17"/>
      <c r="N24" s="17"/>
      <c r="O24" s="17"/>
      <c r="P24" s="17"/>
      <c r="Q24" s="17"/>
      <c r="R24" s="17"/>
    </row>
    <row r="25" spans="1:18" ht="17.399999999999999" customHeight="1" x14ac:dyDescent="0.3">
      <c r="A25" s="17"/>
      <c r="B25" s="17"/>
      <c r="C25" s="17"/>
      <c r="D25" s="17"/>
      <c r="E25" s="17"/>
      <c r="F25" s="17"/>
      <c r="G25" s="17"/>
      <c r="H25" s="17"/>
      <c r="I25" s="17"/>
      <c r="J25" s="17"/>
      <c r="K25" s="17"/>
      <c r="L25" s="17"/>
      <c r="M25" s="17"/>
      <c r="N25" s="17"/>
      <c r="O25" s="17"/>
      <c r="P25" s="17"/>
      <c r="Q25" s="17"/>
      <c r="R25" s="17"/>
    </row>
  </sheetData>
  <mergeCells count="1">
    <mergeCell ref="A24:R2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34C0C-62BA-45DC-96D2-38E89E8B3D47}">
  <dimension ref="A1:P26"/>
  <sheetViews>
    <sheetView tabSelected="1" workbookViewId="0"/>
  </sheetViews>
  <sheetFormatPr defaultRowHeight="14.4" x14ac:dyDescent="0.3"/>
  <sheetData>
    <row r="1" spans="1:16" x14ac:dyDescent="0.3">
      <c r="A1" s="3"/>
      <c r="B1" s="3"/>
      <c r="C1" s="3"/>
      <c r="D1" s="3"/>
      <c r="E1" s="3"/>
      <c r="F1" s="3"/>
      <c r="G1" s="3"/>
      <c r="H1" s="3"/>
      <c r="I1" s="3"/>
      <c r="J1" s="3"/>
      <c r="K1" s="3"/>
      <c r="L1" s="3"/>
      <c r="M1" s="3"/>
      <c r="N1" s="3"/>
      <c r="O1" s="3"/>
      <c r="P1" s="3"/>
    </row>
    <row r="2" spans="1:16" x14ac:dyDescent="0.3">
      <c r="A2" s="3"/>
      <c r="B2" s="3"/>
      <c r="C2" s="3"/>
      <c r="D2" s="3"/>
      <c r="E2" s="3"/>
      <c r="F2" s="3"/>
      <c r="G2" s="3"/>
      <c r="H2" s="3"/>
      <c r="I2" s="3"/>
      <c r="J2" s="3"/>
      <c r="K2" s="3"/>
      <c r="L2" s="3"/>
      <c r="M2" s="3"/>
      <c r="N2" s="3"/>
      <c r="O2" s="3"/>
      <c r="P2" s="3"/>
    </row>
    <row r="3" spans="1:16" x14ac:dyDescent="0.3">
      <c r="A3" s="3"/>
      <c r="B3" s="3"/>
      <c r="C3" s="3"/>
      <c r="D3" s="3"/>
      <c r="E3" s="3"/>
      <c r="F3" s="3"/>
      <c r="G3" s="3"/>
      <c r="H3" s="3"/>
      <c r="I3" s="3"/>
      <c r="J3" s="3"/>
      <c r="K3" s="3"/>
      <c r="L3" s="3"/>
      <c r="M3" s="3"/>
      <c r="N3" s="3"/>
      <c r="O3" s="3"/>
      <c r="P3" s="3"/>
    </row>
    <row r="4" spans="1:16" x14ac:dyDescent="0.3">
      <c r="A4" s="3"/>
      <c r="B4" s="3"/>
      <c r="C4" s="3"/>
      <c r="D4" s="3"/>
      <c r="E4" s="3"/>
      <c r="F4" s="3"/>
      <c r="G4" s="3"/>
      <c r="H4" s="3"/>
      <c r="I4" s="3"/>
      <c r="J4" s="3"/>
      <c r="K4" s="3"/>
      <c r="L4" s="3"/>
      <c r="M4" s="3"/>
      <c r="N4" s="3"/>
      <c r="O4" s="3"/>
      <c r="P4" s="3"/>
    </row>
    <row r="5" spans="1:16" x14ac:dyDescent="0.3">
      <c r="A5" s="3"/>
      <c r="B5" s="3"/>
      <c r="C5" s="3"/>
      <c r="D5" s="3"/>
      <c r="E5" s="3"/>
      <c r="F5" s="3"/>
      <c r="G5" s="3"/>
      <c r="H5" s="3"/>
      <c r="I5" s="3"/>
      <c r="J5" s="3"/>
      <c r="K5" s="3"/>
      <c r="L5" s="3"/>
      <c r="M5" s="3"/>
      <c r="N5" s="3"/>
      <c r="O5" s="3"/>
      <c r="P5" s="3"/>
    </row>
    <row r="6" spans="1:16" x14ac:dyDescent="0.3">
      <c r="A6" s="3"/>
      <c r="B6" s="3"/>
      <c r="C6" s="3"/>
      <c r="D6" s="3"/>
      <c r="E6" s="3"/>
      <c r="F6" s="3"/>
      <c r="G6" s="3"/>
      <c r="H6" s="3"/>
      <c r="I6" s="3"/>
      <c r="J6" s="3"/>
      <c r="K6" s="3"/>
      <c r="L6" s="3"/>
      <c r="M6" s="3"/>
      <c r="N6" s="3"/>
      <c r="O6" s="3"/>
      <c r="P6" s="3"/>
    </row>
    <row r="7" spans="1:16" x14ac:dyDescent="0.3">
      <c r="A7" s="3"/>
      <c r="B7" s="3"/>
      <c r="C7" s="3"/>
      <c r="D7" s="3"/>
      <c r="E7" s="3"/>
      <c r="F7" s="3"/>
      <c r="G7" s="3"/>
      <c r="H7" s="3"/>
      <c r="I7" s="3"/>
      <c r="J7" s="3"/>
      <c r="K7" s="3"/>
      <c r="L7" s="3"/>
      <c r="M7" s="3"/>
      <c r="N7" s="3"/>
      <c r="O7" s="3"/>
      <c r="P7" s="3"/>
    </row>
    <row r="8" spans="1:16" x14ac:dyDescent="0.3">
      <c r="A8" s="3"/>
      <c r="B8" s="3"/>
      <c r="C8" s="3"/>
      <c r="D8" s="3"/>
      <c r="E8" s="3"/>
      <c r="F8" s="3"/>
      <c r="G8" s="3"/>
      <c r="H8" s="3"/>
      <c r="I8" s="3"/>
      <c r="J8" s="3"/>
      <c r="K8" s="3"/>
      <c r="L8" s="3"/>
      <c r="M8" s="3"/>
      <c r="N8" s="3"/>
      <c r="O8" s="3"/>
      <c r="P8" s="3"/>
    </row>
    <row r="9" spans="1:16" x14ac:dyDescent="0.3">
      <c r="A9" s="3"/>
      <c r="B9" s="3"/>
      <c r="C9" s="3"/>
      <c r="D9" s="3"/>
      <c r="E9" s="3"/>
      <c r="F9" s="3"/>
      <c r="G9" s="3"/>
      <c r="H9" s="3"/>
      <c r="I9" s="3"/>
      <c r="J9" s="3"/>
      <c r="K9" s="3"/>
      <c r="L9" s="3"/>
      <c r="M9" s="3"/>
      <c r="N9" s="3"/>
      <c r="O9" s="3"/>
      <c r="P9" s="3"/>
    </row>
    <row r="10" spans="1:16" x14ac:dyDescent="0.3">
      <c r="A10" s="3"/>
      <c r="B10" s="3"/>
      <c r="C10" s="3"/>
      <c r="D10" s="3"/>
      <c r="E10" s="3"/>
      <c r="F10" s="3"/>
      <c r="G10" s="3"/>
      <c r="H10" s="3"/>
      <c r="I10" s="3"/>
      <c r="J10" s="3"/>
      <c r="K10" s="3"/>
      <c r="L10" s="3"/>
      <c r="M10" s="3"/>
      <c r="N10" s="3"/>
      <c r="O10" s="3"/>
      <c r="P10" s="3"/>
    </row>
    <row r="11" spans="1:16" x14ac:dyDescent="0.3">
      <c r="A11" s="3"/>
      <c r="B11" s="3"/>
      <c r="C11" s="3"/>
      <c r="D11" s="3"/>
      <c r="E11" s="3"/>
      <c r="F11" s="3"/>
      <c r="G11" s="3"/>
      <c r="H11" s="3"/>
      <c r="I11" s="3"/>
      <c r="J11" s="3"/>
      <c r="K11" s="3"/>
      <c r="L11" s="3"/>
      <c r="M11" s="3"/>
      <c r="N11" s="3"/>
      <c r="O11" s="3"/>
      <c r="P11" s="3"/>
    </row>
    <row r="12" spans="1:16" x14ac:dyDescent="0.3">
      <c r="A12" s="3"/>
      <c r="B12" s="3"/>
      <c r="C12" s="3"/>
      <c r="D12" s="3"/>
      <c r="E12" s="3"/>
      <c r="F12" s="3"/>
      <c r="G12" s="3"/>
      <c r="H12" s="3"/>
      <c r="I12" s="3"/>
      <c r="J12" s="3"/>
      <c r="K12" s="3"/>
      <c r="L12" s="3"/>
      <c r="M12" s="3"/>
      <c r="N12" s="3"/>
      <c r="O12" s="3"/>
      <c r="P12" s="3"/>
    </row>
    <row r="13" spans="1:16" x14ac:dyDescent="0.3">
      <c r="A13" s="3"/>
      <c r="B13" s="3"/>
      <c r="C13" s="3"/>
      <c r="D13" s="3"/>
      <c r="E13" s="3"/>
      <c r="F13" s="3"/>
      <c r="G13" s="3"/>
      <c r="H13" s="3"/>
      <c r="I13" s="3"/>
      <c r="J13" s="3"/>
      <c r="K13" s="3"/>
      <c r="L13" s="3"/>
      <c r="M13" s="3"/>
      <c r="N13" s="3"/>
      <c r="O13" s="3"/>
      <c r="P13" s="3"/>
    </row>
    <row r="14" spans="1:16" x14ac:dyDescent="0.3">
      <c r="A14" s="3"/>
      <c r="B14" s="3"/>
      <c r="C14" s="3"/>
      <c r="D14" s="3"/>
      <c r="E14" s="3"/>
      <c r="F14" s="3"/>
      <c r="G14" s="3"/>
      <c r="H14" s="3"/>
      <c r="I14" s="3"/>
      <c r="J14" s="3"/>
      <c r="K14" s="3"/>
      <c r="L14" s="3"/>
      <c r="M14" s="3"/>
      <c r="N14" s="3"/>
      <c r="O14" s="3"/>
      <c r="P14" s="3"/>
    </row>
    <row r="15" spans="1:16" x14ac:dyDescent="0.3">
      <c r="A15" s="3"/>
      <c r="B15" s="3"/>
      <c r="C15" s="3"/>
      <c r="D15" s="3"/>
      <c r="E15" s="3"/>
      <c r="F15" s="3"/>
      <c r="G15" s="3"/>
      <c r="H15" s="3"/>
      <c r="I15" s="3"/>
      <c r="J15" s="3"/>
      <c r="K15" s="3"/>
      <c r="L15" s="3"/>
      <c r="M15" s="3"/>
      <c r="N15" s="3"/>
      <c r="O15" s="3"/>
      <c r="P15" s="3"/>
    </row>
    <row r="16" spans="1:16" x14ac:dyDescent="0.3">
      <c r="A16" s="3"/>
      <c r="B16" s="3"/>
      <c r="C16" s="3"/>
      <c r="D16" s="3"/>
      <c r="E16" s="3"/>
      <c r="F16" s="3"/>
      <c r="G16" s="3"/>
      <c r="H16" s="3"/>
      <c r="I16" s="3"/>
      <c r="J16" s="3"/>
      <c r="K16" s="3"/>
      <c r="L16" s="3"/>
      <c r="M16" s="3"/>
      <c r="N16" s="3"/>
      <c r="O16" s="3"/>
      <c r="P16" s="3"/>
    </row>
    <row r="17" spans="1:16" x14ac:dyDescent="0.3">
      <c r="A17" s="3"/>
      <c r="B17" s="3"/>
      <c r="C17" s="3"/>
      <c r="D17" s="3"/>
      <c r="E17" s="3"/>
      <c r="F17" s="3"/>
      <c r="G17" s="3"/>
      <c r="H17" s="3"/>
      <c r="I17" s="3"/>
      <c r="J17" s="3"/>
      <c r="K17" s="3"/>
      <c r="L17" s="3"/>
      <c r="M17" s="3"/>
      <c r="N17" s="3"/>
      <c r="O17" s="3"/>
      <c r="P17" s="3"/>
    </row>
    <row r="18" spans="1:16" x14ac:dyDescent="0.3">
      <c r="A18" s="3"/>
      <c r="B18" s="3"/>
      <c r="C18" s="3"/>
      <c r="D18" s="3"/>
      <c r="E18" s="3"/>
      <c r="F18" s="3"/>
      <c r="G18" s="3"/>
      <c r="H18" s="3"/>
      <c r="I18" s="3"/>
      <c r="J18" s="3"/>
      <c r="K18" s="3"/>
      <c r="L18" s="3"/>
      <c r="M18" s="3"/>
      <c r="N18" s="3"/>
      <c r="O18" s="3"/>
      <c r="P18" s="3"/>
    </row>
    <row r="19" spans="1:16" x14ac:dyDescent="0.3">
      <c r="A19" s="3"/>
      <c r="B19" s="3"/>
      <c r="C19" s="3"/>
      <c r="D19" s="3"/>
      <c r="E19" s="3"/>
      <c r="F19" s="3"/>
      <c r="G19" s="3"/>
      <c r="H19" s="3"/>
      <c r="I19" s="3"/>
      <c r="J19" s="3"/>
      <c r="K19" s="3"/>
      <c r="L19" s="3"/>
      <c r="M19" s="3"/>
      <c r="N19" s="3"/>
      <c r="O19" s="3"/>
      <c r="P19" s="3"/>
    </row>
    <row r="20" spans="1:16" x14ac:dyDescent="0.3">
      <c r="A20" s="3"/>
      <c r="B20" s="3"/>
      <c r="C20" s="3"/>
      <c r="D20" s="3"/>
      <c r="E20" s="3"/>
      <c r="F20" s="3"/>
      <c r="G20" s="3"/>
      <c r="H20" s="3"/>
      <c r="I20" s="3"/>
      <c r="J20" s="3"/>
      <c r="K20" s="3"/>
      <c r="L20" s="3"/>
      <c r="M20" s="3"/>
      <c r="N20" s="3"/>
      <c r="O20" s="3"/>
      <c r="P20" s="3"/>
    </row>
    <row r="21" spans="1:16" x14ac:dyDescent="0.3">
      <c r="A21" s="3"/>
      <c r="B21" s="3"/>
      <c r="C21" s="3"/>
      <c r="D21" s="3"/>
      <c r="E21" s="3"/>
      <c r="F21" s="3"/>
      <c r="G21" s="3"/>
      <c r="H21" s="3"/>
      <c r="I21" s="3"/>
      <c r="J21" s="3"/>
      <c r="K21" s="3"/>
      <c r="L21" s="3"/>
      <c r="M21" s="3"/>
      <c r="N21" s="3"/>
      <c r="O21" s="3"/>
      <c r="P21" s="3"/>
    </row>
    <row r="22" spans="1:16" x14ac:dyDescent="0.3">
      <c r="A22" s="3"/>
      <c r="B22" s="3"/>
      <c r="C22" s="3"/>
      <c r="D22" s="3"/>
      <c r="E22" s="3"/>
      <c r="F22" s="3"/>
      <c r="G22" s="3"/>
      <c r="H22" s="3"/>
      <c r="I22" s="3"/>
      <c r="J22" s="3"/>
      <c r="K22" s="3"/>
      <c r="L22" s="3"/>
      <c r="M22" s="3"/>
      <c r="N22" s="3"/>
      <c r="O22" s="3"/>
      <c r="P22" s="3"/>
    </row>
    <row r="23" spans="1:16" x14ac:dyDescent="0.3">
      <c r="A23" s="3"/>
      <c r="B23" s="3"/>
      <c r="C23" s="3"/>
      <c r="D23" s="3"/>
      <c r="E23" s="3"/>
      <c r="F23" s="3"/>
      <c r="G23" s="3"/>
      <c r="H23" s="3"/>
      <c r="I23" s="3"/>
      <c r="J23" s="3"/>
      <c r="K23" s="3"/>
      <c r="L23" s="3"/>
      <c r="M23" s="3"/>
      <c r="N23" s="3"/>
      <c r="O23" s="3"/>
      <c r="P23" s="3"/>
    </row>
    <row r="24" spans="1:16" x14ac:dyDescent="0.3">
      <c r="A24" s="3"/>
      <c r="B24" s="3"/>
      <c r="C24" s="3"/>
      <c r="D24" s="3"/>
      <c r="E24" s="3"/>
      <c r="F24" s="3"/>
      <c r="G24" s="3"/>
      <c r="H24" s="3"/>
      <c r="I24" s="3"/>
      <c r="J24" s="3"/>
      <c r="K24" s="3"/>
      <c r="L24" s="3"/>
      <c r="M24" s="3"/>
      <c r="N24" s="3"/>
      <c r="O24" s="3"/>
      <c r="P24" s="3"/>
    </row>
    <row r="25" spans="1:16" x14ac:dyDescent="0.3">
      <c r="A25" s="3"/>
      <c r="B25" s="3"/>
      <c r="C25" s="3"/>
      <c r="D25" s="3"/>
      <c r="E25" s="3"/>
      <c r="F25" s="3"/>
      <c r="G25" s="3"/>
      <c r="H25" s="3"/>
      <c r="I25" s="3"/>
      <c r="J25" s="3"/>
      <c r="K25" s="3"/>
      <c r="L25" s="3"/>
      <c r="M25" s="3"/>
      <c r="N25" s="3"/>
      <c r="O25" s="3"/>
      <c r="P25" s="3"/>
    </row>
    <row r="26" spans="1:16" x14ac:dyDescent="0.3">
      <c r="A26" s="3"/>
      <c r="B26" s="3"/>
      <c r="C26" s="3"/>
      <c r="D26" s="3"/>
      <c r="E26" s="3"/>
      <c r="F26" s="3"/>
      <c r="G26" s="3"/>
      <c r="H26" s="3"/>
      <c r="I26" s="3"/>
      <c r="J26" s="3"/>
      <c r="K26" s="3"/>
      <c r="L26" s="3"/>
      <c r="M26" s="3"/>
      <c r="N26" s="3"/>
      <c r="O26" s="3"/>
      <c r="P26" s="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52F6770-9BDF-4782-9936-CB9B30FC12C8}">
  <ds:schemaRefs/>
</ds:datastoreItem>
</file>

<file path=customXml/itemProps2.xml><?xml version="1.0" encoding="utf-8"?>
<ds:datastoreItem xmlns:ds="http://schemas.openxmlformats.org/officeDocument/2006/customXml" ds:itemID="{42E5C72A-EED7-485A-B4B4-A995731BE5EC}">
  <ds:schemaRefs/>
</ds:datastoreItem>
</file>

<file path=customXml/itemProps3.xml><?xml version="1.0" encoding="utf-8"?>
<ds:datastoreItem xmlns:ds="http://schemas.openxmlformats.org/officeDocument/2006/customXml" ds:itemID="{B46E49EB-2650-49E1-BE35-D62AD93CD7E9}">
  <ds:schemaRefs/>
</ds:datastoreItem>
</file>

<file path=customXml/itemProps4.xml><?xml version="1.0" encoding="utf-8"?>
<ds:datastoreItem xmlns:ds="http://schemas.openxmlformats.org/officeDocument/2006/customXml" ds:itemID="{31F44667-8CCC-40E9-AFBA-BA31F4DCDA9E}">
  <ds:schemaRefs/>
</ds:datastoreItem>
</file>

<file path=customXml/itemProps5.xml><?xml version="1.0" encoding="utf-8"?>
<ds:datastoreItem xmlns:ds="http://schemas.openxmlformats.org/officeDocument/2006/customXml" ds:itemID="{2674EAC4-31B1-4AA3-B894-9513A97A55AC}">
  <ds:schemaRefs/>
</ds:datastoreItem>
</file>

<file path=customXml/itemProps6.xml><?xml version="1.0" encoding="utf-8"?>
<ds:datastoreItem xmlns:ds="http://schemas.openxmlformats.org/officeDocument/2006/customXml" ds:itemID="{542B4A30-F51D-42C8-AEA8-B59D737ECDAA}">
  <ds:schemaRefs/>
</ds:datastoreItem>
</file>

<file path=customXml/itemProps7.xml><?xml version="1.0" encoding="utf-8"?>
<ds:datastoreItem xmlns:ds="http://schemas.openxmlformats.org/officeDocument/2006/customXml" ds:itemID="{B9C8FC63-F29B-495D-BCA7-598F2FE86B41}">
  <ds:schemaRefs/>
</ds:datastoreItem>
</file>

<file path=customXml/itemProps8.xml><?xml version="1.0" encoding="utf-8"?>
<ds:datastoreItem xmlns:ds="http://schemas.openxmlformats.org/officeDocument/2006/customXml" ds:itemID="{3F2FBECB-E1BA-4909-9349-17BAE9F1505B}">
  <ds:schemaRefs/>
</ds:datastoreItem>
</file>

<file path=customXml/itemProps9.xml><?xml version="1.0" encoding="utf-8"?>
<ds:datastoreItem xmlns:ds="http://schemas.openxmlformats.org/officeDocument/2006/customXml" ds:itemID="{68C2552C-659C-4967-92C9-7484A98DA8A5}">
  <ds:schemaRefs/>
</ds:datastoreItem>
</file>

<file path=customXml/itemProps10.xml><?xml version="1.0" encoding="utf-8"?>
<ds:datastoreItem xmlns:ds="http://schemas.openxmlformats.org/officeDocument/2006/customXml" ds:itemID="{0F5965B8-1484-4E20-A365-BCC644BD061D}">
  <ds:schemaRefs/>
</ds:datastoreItem>
</file>

<file path=customXml/itemProps11.xml><?xml version="1.0" encoding="utf-8"?>
<ds:datastoreItem xmlns:ds="http://schemas.openxmlformats.org/officeDocument/2006/customXml" ds:itemID="{4E668BAF-157D-4FFA-B2EF-243BDABBC0E8}">
  <ds:schemaRefs/>
</ds:datastoreItem>
</file>

<file path=customXml/itemProps12.xml><?xml version="1.0" encoding="utf-8"?>
<ds:datastoreItem xmlns:ds="http://schemas.openxmlformats.org/officeDocument/2006/customXml" ds:itemID="{1B367955-D240-4424-ADCF-718ED789FA47}">
  <ds:schemaRefs/>
</ds:datastoreItem>
</file>

<file path=customXml/itemProps13.xml><?xml version="1.0" encoding="utf-8"?>
<ds:datastoreItem xmlns:ds="http://schemas.openxmlformats.org/officeDocument/2006/customXml" ds:itemID="{CC249C2C-D94C-4242-A00D-106C4C7FDA24}">
  <ds:schemaRefs/>
</ds:datastoreItem>
</file>

<file path=customXml/itemProps14.xml><?xml version="1.0" encoding="utf-8"?>
<ds:datastoreItem xmlns:ds="http://schemas.openxmlformats.org/officeDocument/2006/customXml" ds:itemID="{C00F734D-9F2E-49DD-885C-D434DBA105C1}">
  <ds:schemaRefs>
    <ds:schemaRef ds:uri="http://schemas.microsoft.com/DataMashup"/>
  </ds:schemaRefs>
</ds:datastoreItem>
</file>

<file path=customXml/itemProps15.xml><?xml version="1.0" encoding="utf-8"?>
<ds:datastoreItem xmlns:ds="http://schemas.openxmlformats.org/officeDocument/2006/customXml" ds:itemID="{682A2997-ED18-4815-B92F-39DAA8B0988B}">
  <ds:schemaRefs/>
</ds:datastoreItem>
</file>

<file path=customXml/itemProps16.xml><?xml version="1.0" encoding="utf-8"?>
<ds:datastoreItem xmlns:ds="http://schemas.openxmlformats.org/officeDocument/2006/customXml" ds:itemID="{F095C7F1-E1AE-4722-A3C7-80183E151DCF}">
  <ds:schemaRefs/>
</ds:datastoreItem>
</file>

<file path=customXml/itemProps17.xml><?xml version="1.0" encoding="utf-8"?>
<ds:datastoreItem xmlns:ds="http://schemas.openxmlformats.org/officeDocument/2006/customXml" ds:itemID="{792DE906-8C7D-4AD3-9C55-43E016572041}">
  <ds:schemaRefs/>
</ds:datastoreItem>
</file>

<file path=customXml/itemProps18.xml><?xml version="1.0" encoding="utf-8"?>
<ds:datastoreItem xmlns:ds="http://schemas.openxmlformats.org/officeDocument/2006/customXml" ds:itemID="{15BD0FEE-1086-4083-B240-961CD729EB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 Layout </vt:lpstr>
      <vt:lpstr>Daily ER No of patient</vt:lpstr>
      <vt:lpstr>Average wait time daily trend </vt:lpstr>
      <vt:lpstr>Satisfaction score daily trend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Phadatare</dc:creator>
  <cp:lastModifiedBy>Ashish Phadatare</cp:lastModifiedBy>
  <dcterms:created xsi:type="dcterms:W3CDTF">2026-05-20T06:58:05Z</dcterms:created>
  <dcterms:modified xsi:type="dcterms:W3CDTF">2026-06-09T11:40:27Z</dcterms:modified>
</cp:coreProperties>
</file>